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p\DMart_Sales_Analysis\"/>
    </mc:Choice>
  </mc:AlternateContent>
  <bookViews>
    <workbookView xWindow="0" yWindow="0" windowWidth="22188" windowHeight="9120" activeTab="9"/>
  </bookViews>
  <sheets>
    <sheet name="Sheet1" sheetId="1" r:id="rId1"/>
    <sheet name="Sheet2" sheetId="2" r:id="rId2"/>
    <sheet name="Sheet3" sheetId="3" r:id="rId3"/>
    <sheet name="Sheet4" sheetId="4" r:id="rId4"/>
    <sheet name="Sheet7" sheetId="7" r:id="rId5"/>
    <sheet name="Sheet6" sheetId="6" r:id="rId6"/>
    <sheet name="Sheet8" sheetId="8" r:id="rId7"/>
    <sheet name="Sheet9" sheetId="9" r:id="rId8"/>
    <sheet name="Sheet5" sheetId="5" r:id="rId9"/>
    <sheet name="Sheet10" sheetId="10" r:id="rId10"/>
  </sheets>
  <calcPr calcId="152511"/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9" i="5" l="1"/>
  <c r="G498" i="5"/>
  <c r="G497" i="5"/>
  <c r="G496" i="5"/>
  <c r="G495" i="5"/>
  <c r="G494" i="5"/>
  <c r="G493" i="5"/>
  <c r="G492" i="5"/>
  <c r="G491" i="5"/>
  <c r="G490" i="5"/>
  <c r="G489" i="5"/>
  <c r="G488" i="5"/>
  <c r="G487" i="5"/>
  <c r="G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G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60" i="5"/>
  <c r="G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46" i="5"/>
  <c r="G445" i="5"/>
  <c r="G444" i="5"/>
  <c r="G443" i="5"/>
  <c r="G442" i="5"/>
  <c r="G441" i="5"/>
  <c r="G440" i="5"/>
  <c r="G439" i="5"/>
  <c r="G438" i="5"/>
  <c r="G437" i="5"/>
  <c r="G436" i="5"/>
  <c r="G435" i="5"/>
  <c r="G434" i="5"/>
  <c r="G433" i="5"/>
  <c r="G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G419" i="5"/>
  <c r="G418" i="5"/>
  <c r="G417" i="5"/>
  <c r="G416" i="5"/>
  <c r="G415" i="5"/>
  <c r="G414" i="5"/>
  <c r="G413" i="5"/>
  <c r="G412" i="5"/>
  <c r="G411" i="5"/>
  <c r="G410" i="5"/>
  <c r="G409" i="5"/>
  <c r="G408" i="5"/>
  <c r="G407" i="5"/>
  <c r="G406" i="5"/>
  <c r="G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G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G379" i="5"/>
  <c r="G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65" i="5"/>
  <c r="G364" i="5"/>
  <c r="G363" i="5"/>
  <c r="G362" i="5"/>
  <c r="G361" i="5"/>
  <c r="G360" i="5"/>
  <c r="G359" i="5"/>
  <c r="G358" i="5"/>
  <c r="G357" i="5"/>
  <c r="G356" i="5"/>
  <c r="G355" i="5"/>
  <c r="G354" i="5"/>
  <c r="G353" i="5"/>
  <c r="G352" i="5"/>
  <c r="G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G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25" i="5"/>
  <c r="G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G298" i="5"/>
  <c r="G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84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71" i="5"/>
  <c r="G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G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44" i="5"/>
  <c r="G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Q10" i="5"/>
  <c r="G10" i="5"/>
  <c r="Q9" i="5"/>
  <c r="G9" i="5"/>
  <c r="Q8" i="5"/>
  <c r="G8" i="5"/>
  <c r="Q7" i="5"/>
  <c r="P10" i="5"/>
  <c r="P9" i="5"/>
  <c r="P8" i="5"/>
  <c r="P7" i="5" a="1"/>
  <c r="P7" i="5"/>
  <c r="G7" i="5"/>
  <c r="G6" i="5"/>
  <c r="G5" i="5"/>
  <c r="G4" i="5"/>
  <c r="G3" i="5"/>
  <c r="O2" i="5"/>
  <c r="G2" i="5"/>
  <c r="H12" i="3"/>
  <c r="G12" i="3"/>
  <c r="F12" i="3"/>
  <c r="E12" i="3"/>
  <c r="H11" i="3"/>
  <c r="G11" i="3"/>
  <c r="F11" i="3"/>
  <c r="E11" i="3"/>
  <c r="H10" i="3"/>
  <c r="G10" i="3"/>
  <c r="F10" i="3"/>
  <c r="E10" i="3"/>
  <c r="H9" i="3"/>
  <c r="G9" i="3"/>
  <c r="F9" i="3"/>
  <c r="E9" i="3"/>
  <c r="E4" i="3"/>
  <c r="D4" i="3"/>
  <c r="E3" i="3"/>
  <c r="D3" i="3"/>
  <c r="F2" i="3"/>
  <c r="E2" i="3"/>
  <c r="D2" i="3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<sst xmlns="http://schemas.openxmlformats.org/spreadsheetml/2006/main" count="9241" uniqueCount="600">
  <si>
    <t>Column1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</si>
  <si>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</si>
  <si>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</si>
  <si>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</si>
  <si>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</si>
  <si>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</si>
  <si>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</si>
  <si>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</si>
  <si>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</si>
  <si>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</si>
  <si>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</si>
  <si>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city2</t>
  </si>
  <si>
    <t>city3</t>
  </si>
  <si>
    <t>ORD100000</t>
  </si>
  <si>
    <t>East</t>
  </si>
  <si>
    <t>Clothing</t>
  </si>
  <si>
    <t>Member</t>
  </si>
  <si>
    <t>UPI</t>
  </si>
  <si>
    <t>Bangalore</t>
  </si>
  <si>
    <t>ORD100001</t>
  </si>
  <si>
    <t>West</t>
  </si>
  <si>
    <t>Electronics</t>
  </si>
  <si>
    <t>Regular</t>
  </si>
  <si>
    <t>Card</t>
  </si>
  <si>
    <t>MUMBAI</t>
  </si>
  <si>
    <t>Mumbai</t>
  </si>
  <si>
    <t>ORD100002</t>
  </si>
  <si>
    <t>North</t>
  </si>
  <si>
    <t>Home Care</t>
  </si>
  <si>
    <t>Cash</t>
  </si>
  <si>
    <t>Pune</t>
  </si>
  <si>
    <t>First Name</t>
  </si>
  <si>
    <t>Last Name</t>
  </si>
  <si>
    <t>Full Name</t>
  </si>
  <si>
    <t>ORD100003</t>
  </si>
  <si>
    <t>South</t>
  </si>
  <si>
    <t>hyderabad</t>
  </si>
  <si>
    <t>Hyderabad</t>
  </si>
  <si>
    <t>Rahul</t>
  </si>
  <si>
    <t>Pawar</t>
  </si>
  <si>
    <t>Rahul Pawar</t>
  </si>
  <si>
    <t>ORD100004</t>
  </si>
  <si>
    <t>New</t>
  </si>
  <si>
    <t>Shraddha</t>
  </si>
  <si>
    <t>Jadhav</t>
  </si>
  <si>
    <t>Shraddha Jadhav</t>
  </si>
  <si>
    <t>ORD100005</t>
  </si>
  <si>
    <t>Grocery</t>
  </si>
  <si>
    <t>Harry</t>
  </si>
  <si>
    <t>Poter</t>
  </si>
  <si>
    <t>Harry Poter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</si>
  <si>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</si>
  <si>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</si>
  <si>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</si>
  <si>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</si>
  <si>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</si>
  <si>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</si>
  <si>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</si>
  <si>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</si>
  <si>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</si>
  <si>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</si>
  <si>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</si>
  <si>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</si>
  <si>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</si>
  <si>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+91 9856342309</t>
  </si>
  <si>
    <t>ORD100014</t>
  </si>
  <si>
    <t>+91 8945342219</t>
  </si>
  <si>
    <t>ORD100015</t>
  </si>
  <si>
    <t>+91 9054894567</t>
  </si>
  <si>
    <t>ORD100016</t>
  </si>
  <si>
    <t>BANGALORE</t>
  </si>
  <si>
    <t>+91 8495838349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</si>
  <si>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</si>
  <si>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</si>
  <si>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</si>
  <si>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</si>
  <si>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</si>
  <si>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</si>
  <si>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</si>
  <si>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</si>
  <si>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</si>
  <si>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</si>
  <si>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</si>
  <si>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</si>
  <si>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</si>
  <si>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</si>
  <si>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</si>
  <si>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</si>
  <si>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</si>
  <si>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</si>
  <si>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</si>
  <si>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</si>
  <si>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</si>
  <si>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</si>
  <si>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</si>
  <si>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</si>
  <si>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</si>
  <si>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</si>
  <si>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</si>
  <si>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</si>
  <si>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</si>
  <si>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</si>
  <si>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</si>
  <si>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</si>
  <si>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</si>
  <si>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</si>
  <si>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</si>
  <si>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</si>
  <si>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</si>
  <si>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</si>
  <si>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</si>
  <si>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</si>
  <si>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</si>
  <si>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</si>
  <si>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</si>
  <si>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</si>
  <si>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</si>
  <si>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</si>
  <si>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</si>
  <si>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</si>
  <si>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</si>
  <si>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</si>
  <si>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</si>
  <si>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</si>
  <si>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</si>
  <si>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</si>
  <si>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</si>
  <si>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</si>
  <si>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</si>
  <si>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</si>
  <si>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</si>
  <si>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</si>
  <si>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</si>
  <si>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</si>
  <si>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</si>
  <si>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</si>
  <si>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</si>
  <si>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</si>
  <si>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</si>
  <si>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</si>
  <si>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</si>
  <si>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</si>
  <si>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</si>
  <si>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</si>
  <si>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</si>
  <si>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</si>
  <si>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</si>
  <si>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</si>
  <si>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</si>
  <si>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</si>
  <si>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</si>
  <si>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</si>
  <si>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</si>
  <si>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</si>
  <si>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</si>
  <si>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</si>
  <si>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</si>
  <si>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</si>
  <si>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</si>
  <si>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</si>
  <si>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</si>
  <si>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</si>
  <si>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</si>
  <si>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</si>
  <si>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</si>
  <si>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</si>
  <si>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</si>
  <si>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</si>
  <si>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</si>
  <si>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</si>
  <si>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</si>
  <si>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</si>
  <si>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</si>
  <si>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</si>
  <si>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</si>
  <si>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</si>
  <si>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</si>
  <si>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</si>
  <si>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</si>
  <si>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</si>
  <si>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</si>
  <si>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</si>
  <si>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</si>
  <si>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</si>
  <si>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</si>
  <si>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</si>
  <si>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</si>
  <si>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</si>
  <si>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</si>
  <si>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</si>
  <si>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</si>
  <si>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</si>
  <si>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</si>
  <si>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</si>
  <si>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</si>
  <si>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</si>
  <si>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</si>
  <si>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</si>
  <si>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</si>
  <si>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</si>
  <si>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</si>
  <si>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</si>
  <si>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</si>
  <si>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</si>
  <si>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</si>
  <si>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</si>
  <si>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</si>
  <si>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</si>
  <si>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</si>
  <si>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</si>
  <si>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</si>
  <si>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</si>
  <si>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</si>
  <si>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</si>
  <si>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</si>
  <si>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</si>
  <si>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</si>
  <si>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</si>
  <si>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</si>
  <si>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</si>
  <si>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</si>
  <si>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</si>
  <si>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</si>
  <si>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</si>
  <si>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</si>
  <si>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</si>
  <si>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</si>
  <si>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</si>
  <si>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</si>
  <si>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</si>
  <si>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</si>
  <si>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</si>
  <si>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</si>
  <si>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</si>
  <si>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</si>
  <si>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</si>
  <si>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</si>
  <si>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</si>
  <si>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</si>
  <si>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</si>
  <si>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</si>
  <si>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</si>
  <si>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</si>
  <si>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</si>
  <si>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</si>
  <si>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</si>
  <si>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</si>
  <si>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</si>
  <si>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</si>
  <si>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</si>
  <si>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</si>
  <si>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</si>
  <si>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</si>
  <si>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</si>
  <si>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</si>
  <si>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</si>
  <si>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</si>
  <si>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</si>
  <si>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</si>
  <si>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</si>
  <si>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</si>
  <si>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</si>
  <si>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</si>
  <si>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</si>
  <si>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</si>
  <si>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</si>
  <si>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</si>
  <si>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</si>
  <si>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</si>
  <si>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</si>
  <si>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</si>
  <si>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</si>
  <si>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</si>
  <si>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</si>
  <si>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</si>
  <si>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</si>
  <si>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</si>
  <si>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</si>
  <si>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</si>
  <si>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</si>
  <si>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</si>
  <si>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</si>
  <si>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</si>
  <si>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</si>
  <si>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</si>
  <si>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</si>
  <si>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</si>
  <si>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</si>
  <si>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</si>
  <si>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</si>
  <si>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</si>
  <si>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</si>
  <si>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</si>
  <si>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</si>
  <si>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</si>
  <si>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</si>
  <si>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</si>
  <si>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</si>
  <si>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</si>
  <si>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</si>
  <si>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</si>
  <si>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</si>
  <si>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</si>
  <si>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</si>
  <si>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</si>
  <si>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</si>
  <si>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</si>
  <si>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</si>
  <si>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</si>
  <si>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</si>
  <si>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</si>
  <si>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</si>
  <si>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</si>
  <si>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</si>
  <si>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</si>
  <si>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</si>
  <si>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</si>
  <si>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</si>
  <si>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</si>
  <si>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</si>
  <si>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</si>
  <si>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</si>
  <si>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</si>
  <si>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</si>
  <si>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</si>
  <si>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</si>
  <si>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</si>
  <si>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</si>
  <si>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</si>
  <si>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</si>
  <si>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</si>
  <si>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</si>
  <si>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</si>
  <si>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</si>
  <si>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</si>
  <si>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</si>
  <si>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</si>
  <si>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</si>
  <si>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</si>
  <si>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</si>
  <si>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</si>
  <si>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</si>
  <si>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</si>
  <si>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</si>
  <si>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</si>
  <si>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</si>
  <si>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</si>
  <si>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</si>
  <si>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</si>
  <si>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</si>
  <si>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</si>
  <si>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</si>
  <si>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</si>
  <si>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</si>
  <si>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</si>
  <si>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</si>
  <si>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</si>
  <si>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</si>
  <si>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</si>
  <si>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</si>
  <si>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</si>
  <si>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</si>
  <si>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</si>
  <si>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</si>
  <si>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</si>
  <si>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</si>
  <si>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</si>
  <si>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</si>
  <si>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</si>
  <si>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</si>
  <si>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</si>
  <si>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</si>
  <si>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</si>
  <si>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</si>
  <si>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</si>
  <si>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</si>
  <si>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</si>
  <si>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</si>
  <si>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</si>
  <si>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</si>
  <si>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</si>
  <si>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</si>
  <si>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</si>
  <si>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</si>
  <si>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</si>
  <si>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</si>
  <si>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</si>
  <si>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</si>
  <si>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</si>
  <si>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</si>
  <si>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</si>
  <si>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</si>
  <si>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</si>
  <si>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</si>
  <si>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</si>
  <si>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</si>
  <si>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</si>
  <si>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</si>
  <si>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</si>
  <si>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</si>
  <si>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</si>
  <si>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</si>
  <si>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</si>
  <si>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</si>
  <si>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</si>
  <si>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</si>
  <si>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</si>
  <si>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</si>
  <si>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</si>
  <si>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</si>
  <si>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</si>
  <si>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</si>
  <si>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</si>
  <si>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</si>
  <si>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</si>
  <si>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</si>
  <si>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</si>
  <si>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</si>
  <si>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</si>
  <si>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</si>
  <si>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</si>
  <si>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</si>
  <si>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</si>
  <si>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</si>
  <si>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</si>
  <si>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</si>
  <si>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</si>
  <si>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</si>
  <si>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</si>
  <si>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</si>
  <si>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</si>
  <si>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</si>
  <si>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</si>
  <si>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</si>
  <si>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</si>
  <si>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</si>
  <si>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</si>
  <si>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</si>
  <si>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</si>
  <si>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</si>
  <si>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</si>
  <si>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</si>
  <si>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</si>
  <si>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</si>
  <si>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</si>
  <si>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</si>
  <si>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</si>
  <si>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</si>
  <si>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</si>
  <si>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</si>
  <si>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</si>
  <si>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</si>
  <si>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</si>
  <si>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</si>
  <si>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</si>
  <si>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</si>
  <si>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</si>
  <si>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</si>
  <si>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</si>
  <si>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</si>
  <si>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</si>
  <si>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</si>
  <si>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</si>
  <si>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</si>
  <si>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</si>
  <si>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</si>
  <si>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</si>
  <si>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</si>
  <si>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</si>
  <si>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</si>
  <si>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</si>
  <si>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</si>
  <si>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</si>
  <si>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</si>
  <si>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</si>
  <si>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</si>
  <si>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</si>
  <si>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</si>
  <si>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</si>
  <si>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</si>
  <si>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</si>
  <si>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</si>
  <si>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</si>
  <si>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</si>
  <si>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</si>
  <si>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</si>
  <si>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</si>
  <si>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</si>
  <si>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</si>
  <si>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</si>
  <si>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</si>
  <si>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</si>
  <si>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</si>
  <si>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</si>
  <si>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</si>
  <si>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</si>
  <si>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</si>
  <si>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</si>
  <si>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</si>
  <si>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</si>
  <si>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</si>
  <si>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</si>
  <si>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</si>
  <si>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</si>
  <si>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</si>
  <si>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</si>
  <si>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</si>
  <si>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</si>
  <si>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</si>
  <si>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</si>
  <si>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</si>
  <si>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</si>
  <si>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</si>
  <si>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</si>
  <si>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</si>
  <si>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</si>
  <si>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</si>
  <si>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</si>
  <si>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</si>
  <si>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</si>
  <si>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</si>
  <si>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</si>
  <si>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</si>
  <si>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</si>
  <si>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</si>
  <si>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</si>
  <si>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</si>
  <si>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</si>
  <si>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</si>
  <si>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</si>
  <si>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</si>
  <si>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</si>
  <si>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</si>
  <si>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</si>
  <si>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</si>
  <si>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</si>
  <si>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</si>
  <si>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</si>
  <si>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</si>
  <si>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</si>
  <si>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</si>
  <si>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</si>
  <si>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</si>
  <si>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</si>
  <si>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</si>
  <si>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</si>
  <si>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</si>
  <si>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</si>
  <si>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</si>
  <si>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</si>
  <si>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</si>
  <si>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</si>
  <si>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</si>
  <si>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</si>
  <si>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</si>
  <si>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</si>
  <si>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</si>
  <si>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</si>
  <si>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</si>
  <si>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</si>
  <si>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Monday</t>
  </si>
  <si>
    <t>Jan</t>
  </si>
  <si>
    <t>January</t>
  </si>
  <si>
    <t>Tuesday</t>
  </si>
  <si>
    <t>Feb</t>
  </si>
  <si>
    <t>February</t>
  </si>
  <si>
    <t>Wednesday</t>
  </si>
  <si>
    <t>Mar</t>
  </si>
  <si>
    <t>March</t>
  </si>
  <si>
    <t>Thursday</t>
  </si>
  <si>
    <t>Apr</t>
  </si>
  <si>
    <t>April</t>
  </si>
  <si>
    <t>Friday</t>
  </si>
  <si>
    <t>May</t>
  </si>
  <si>
    <t>Saturday</t>
  </si>
  <si>
    <t>Jun</t>
  </si>
  <si>
    <t>June</t>
  </si>
  <si>
    <t>Sunday</t>
  </si>
  <si>
    <t>Jul</t>
  </si>
  <si>
    <t>July</t>
  </si>
  <si>
    <t>Aug</t>
  </si>
  <si>
    <t>August</t>
  </si>
  <si>
    <t>Sep</t>
  </si>
  <si>
    <t>September</t>
  </si>
  <si>
    <t>Oct</t>
  </si>
  <si>
    <t>October</t>
  </si>
  <si>
    <t>Nov</t>
  </si>
  <si>
    <t>November</t>
  </si>
  <si>
    <t>Dec</t>
  </si>
  <si>
    <t>December</t>
  </si>
  <si>
    <t>Sum of sales</t>
  </si>
  <si>
    <t>Grand Total</t>
  </si>
  <si>
    <t>Column2</t>
  </si>
  <si>
    <t>Age</t>
  </si>
  <si>
    <t>Nashik</t>
  </si>
  <si>
    <t>Nagpur</t>
  </si>
  <si>
    <t>Solapur</t>
  </si>
  <si>
    <t>Satara</t>
  </si>
  <si>
    <t>Kolhapur</t>
  </si>
  <si>
    <t>Sangli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</si>
</sst>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6" formatCode="yyyy/mm/dd"/>
    <numFmt numFmtId="167" formatCode="0.00_);[Red]\(0.00\)"/>
  </numFmts>
  <fonts count="10">
    <font>
      <sz val="11"/>
      <color theme="1"/>
      <name val="Aptos Narrow"/>
      <charset val="134"/>
      <scheme val="minor"/>
    </font>
    <font>
      <b/>
      <sz val="11"/>
      <color theme="0"/>
      <name val="Arial"/>
      <charset val="134"/>
    </font>
    <font>
      <b/>
      <sz val="11"/>
      <color theme="0"/>
      <name val="Aptos Narrow"/>
      <charset val="134"/>
    </font>
    <font>
      <b/>
      <sz val="10"/>
      <color theme="0"/>
      <name val="Aptos Narrow"/>
      <charset val="134"/>
    </font>
    <font>
      <sz val="11"/>
      <color theme="1"/>
      <name val="Aptos Narrow"/>
      <charset val="134"/>
    </font>
    <font>
      <sz val="10"/>
      <color theme="1"/>
      <name val="Aptos Narrow"/>
      <charset val="134"/>
    </font>
    <font>
      <sz val="10"/>
      <color theme="1"/>
      <name val="Arial"/>
      <charset val="134"/>
    </font>
    <font>
      <b/>
      <sz val="11"/>
      <color theme="1"/>
      <name val="Arial"/>
      <charset val="134"/>
    </font>
    <font>
      <b/>
      <sz val="11"/>
      <color theme="1"/>
      <name val="Aptos Narrow"/>
      <charset val="134"/>
    </font>
    <font>
      <b/>
      <sz val="10"/>
      <color theme="1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5117038483843"/>
        <bgColor theme="4" tint="0.79995117038483843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4"/>
      </left>
      <right/>
      <top style="thin">
        <color theme="4" tint="0.39994506668294322"/>
      </top>
      <bottom style="thin">
        <color theme="4" tint="0.39994506668294322"/>
      </bottom>
      <diagonal/>
    </border>
    <border>
      <left/>
      <right/>
      <top style="thin">
        <color theme="4" tint="0.39994506668294322"/>
      </top>
      <bottom style="thin">
        <color theme="4" tint="0.39994506668294322"/>
      </bottom>
      <diagonal/>
    </border>
    <border>
      <left style="thin">
        <color theme="4"/>
      </left>
      <right/>
      <top style="thin">
        <color theme="4" tint="0.39994506668294322"/>
      </top>
      <bottom style="thin">
        <color theme="4"/>
      </bottom>
      <diagonal/>
    </border>
    <border>
      <left/>
      <right/>
      <top style="thin">
        <color theme="4" tint="0.39994506668294322"/>
      </top>
      <bottom style="thin">
        <color theme="4"/>
      </bottom>
      <diagonal/>
    </border>
  </borders>
  <cellStyleXfs count="1">
    <xf numFmtId="0" fontId="0" fillId="0" borderId="0"/>
  </cellStyleXfs>
  <cellXfs count="37">
    <xf numFmtId="0" fontId="0" fillId="0" borderId="0" xfId="0" applyFont="1" applyAlignment="1"/>
    <xf numFmtId="0" fontId="1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4" fillId="3" borderId="2" xfId="0" applyFont="1" applyFill="1" applyBorder="1"/>
    <xf numFmtId="0" fontId="5" fillId="3" borderId="3" xfId="0" applyFont="1" applyFill="1" applyBorder="1"/>
    <xf numFmtId="0" fontId="5" fillId="3" borderId="3" xfId="0" applyNumberFormat="1" applyFont="1" applyFill="1" applyBorder="1"/>
    <xf numFmtId="166" fontId="5" fillId="3" borderId="3" xfId="0" applyNumberFormat="1" applyFont="1" applyFill="1" applyBorder="1"/>
    <xf numFmtId="0" fontId="4" fillId="3" borderId="3" xfId="0" applyFont="1" applyFill="1" applyBorder="1"/>
    <xf numFmtId="0" fontId="4" fillId="0" borderId="2" xfId="0" applyFont="1" applyBorder="1"/>
    <xf numFmtId="0" fontId="5" fillId="0" borderId="3" xfId="0" applyFont="1" applyBorder="1"/>
    <xf numFmtId="0" fontId="5" fillId="0" borderId="3" xfId="0" applyNumberFormat="1" applyFont="1" applyBorder="1"/>
    <xf numFmtId="166" fontId="5" fillId="0" borderId="3" xfId="0" applyNumberFormat="1" applyFont="1" applyBorder="1"/>
    <xf numFmtId="0" fontId="4" fillId="0" borderId="3" xfId="0" applyFont="1" applyBorder="1"/>
    <xf numFmtId="0" fontId="4" fillId="0" borderId="3" xfId="0" applyFont="1" applyBorder="1" applyAlignment="1">
      <alignment horizontal="left"/>
    </xf>
    <xf numFmtId="166" fontId="6" fillId="3" borderId="3" xfId="0" applyNumberFormat="1" applyFont="1" applyFill="1" applyBorder="1" applyAlignment="1"/>
    <xf numFmtId="0" fontId="4" fillId="0" borderId="4" xfId="0" applyFont="1" applyBorder="1"/>
    <xf numFmtId="0" fontId="5" fillId="0" borderId="5" xfId="0" applyFont="1" applyBorder="1"/>
    <xf numFmtId="0" fontId="5" fillId="0" borderId="5" xfId="0" applyNumberFormat="1" applyFont="1" applyBorder="1"/>
    <xf numFmtId="166" fontId="5" fillId="0" borderId="5" xfId="0" applyNumberFormat="1" applyFont="1" applyBorder="1"/>
    <xf numFmtId="0" fontId="4" fillId="0" borderId="5" xfId="0" applyFont="1" applyBorder="1"/>
    <xf numFmtId="14" fontId="0" fillId="0" borderId="0" xfId="0" applyNumberFormat="1" applyFont="1" applyAlignment="1"/>
    <xf numFmtId="9" fontId="0" fillId="0" borderId="0" xfId="0" applyNumberFormat="1" applyFont="1" applyAlignment="1"/>
    <xf numFmtId="10" fontId="0" fillId="0" borderId="0" xfId="0" applyNumberFormat="1" applyFont="1" applyAlignment="1"/>
    <xf numFmtId="167" fontId="0" fillId="0" borderId="0" xfId="0" applyNumberFormat="1" applyFont="1" applyAlignment="1"/>
    <xf numFmtId="0" fontId="7" fillId="0" borderId="1" xfId="0" applyFont="1" applyBorder="1" applyAlignment="1">
      <alignment horizontal="center" vertical="top"/>
    </xf>
    <xf numFmtId="0" fontId="8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4" fillId="0" borderId="0" xfId="0" applyFont="1"/>
    <xf numFmtId="0" fontId="5" fillId="0" borderId="0" xfId="0" applyFont="1"/>
    <xf numFmtId="166" fontId="5" fillId="0" borderId="0" xfId="0" applyNumberFormat="1" applyFont="1"/>
    <xf numFmtId="0" fontId="4" fillId="4" borderId="0" xfId="0" applyFont="1" applyFill="1"/>
    <xf numFmtId="0" fontId="4" fillId="0" borderId="0" xfId="0" applyFont="1" applyAlignment="1">
      <alignment horizontal="left"/>
    </xf>
    <xf numFmtId="0" fontId="4" fillId="0" borderId="0" xfId="0" applyNumberFormat="1" applyFont="1"/>
    <xf numFmtId="166" fontId="6" fillId="0" borderId="0" xfId="0" applyNumberFormat="1" applyFont="1" applyAlignment="1"/>
    <xf numFmtId="0" fontId="4" fillId="0" borderId="0" xfId="0" quotePrefix="1" applyFont="1"/>
    <xf numFmtId="0" fontId="4" fillId="0" borderId="0" xfId="0" quotePrefix="1" applyNumberFormat="1" applyFont="1"/>
  </cellXfs>
  <cellStyles count="1">
    <cellStyle name="Normal" xfId="0" builtinId="0"/>
  </cellStyles>
  <dxfs count="70"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FF00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b val="0"/>
        <i val="0"/>
        <strike val="0"/>
        <u val="none"/>
        <sz val="11"/>
        <color theme="1"/>
        <name val="Aptos Narrow"/>
        <scheme val="none"/>
      </font>
    </dxf>
    <dxf>
      <font>
        <b val="0"/>
        <i val="0"/>
        <strike val="0"/>
        <u val="none"/>
        <sz val="11"/>
        <color theme="1"/>
        <name val="Aptos Narrow"/>
        <scheme val="none"/>
      </font>
    </dxf>
    <dxf>
      <font>
        <b val="0"/>
        <i val="0"/>
        <strike val="0"/>
        <u val="none"/>
        <sz val="11"/>
        <color theme="1"/>
        <name val="Aptos Narrow"/>
        <scheme val="none"/>
      </font>
    </dxf>
    <dxf>
      <font>
        <b val="0"/>
        <i val="0"/>
        <strike val="0"/>
        <u val="none"/>
        <sz val="11"/>
        <color theme="1"/>
        <name val="Aptos Narrow"/>
        <scheme val="none"/>
      </font>
    </dxf>
    <dxf>
      <font>
        <b val="0"/>
        <i val="0"/>
        <strike val="0"/>
        <u val="none"/>
        <sz val="11"/>
        <color theme="1"/>
        <name val="Aptos Narrow"/>
        <scheme val="none"/>
      </font>
    </dxf>
    <dxf>
      <font>
        <b val="0"/>
        <i val="0"/>
        <strike val="0"/>
        <u val="none"/>
        <sz val="11"/>
        <color theme="1"/>
        <name val="Aptos Narrow"/>
        <scheme val="none"/>
      </font>
    </dxf>
    <dxf>
      <numFmt numFmtId="0" formatCode="General"/>
    </dxf>
    <dxf>
      <font>
        <b val="0"/>
        <i val="0"/>
        <strike val="0"/>
        <u val="none"/>
        <sz val="11"/>
        <color theme="1"/>
        <name val="Aptos Narrow"/>
        <scheme val="none"/>
      </font>
    </dxf>
    <dxf>
      <font>
        <b val="0"/>
        <i val="0"/>
        <strike val="0"/>
        <u val="none"/>
        <sz val="11"/>
        <color theme="1"/>
        <name val="Aptos Narrow"/>
        <scheme val="none"/>
      </font>
    </dxf>
    <dxf>
      <font>
        <b val="0"/>
        <i val="0"/>
        <strike val="0"/>
        <u val="none"/>
        <sz val="11"/>
        <color theme="1"/>
        <name val="Aptos Narrow"/>
        <scheme val="none"/>
      </font>
    </dxf>
    <dxf>
      <font>
        <b val="0"/>
        <i val="0"/>
        <strike val="0"/>
        <u val="none"/>
        <sz val="11"/>
        <color theme="1"/>
        <name val="Aptos Narrow"/>
        <scheme val="none"/>
      </font>
    </dxf>
    <dxf>
      <font>
        <b val="0"/>
        <i val="0"/>
        <strike val="0"/>
        <u val="none"/>
        <sz val="11"/>
        <color theme="1"/>
        <name val="Aptos Narrow"/>
        <scheme val="none"/>
      </font>
    </dxf>
    <dxf>
      <font>
        <b val="0"/>
        <i val="0"/>
        <strike val="0"/>
        <u val="none"/>
        <sz val="11"/>
        <color theme="1"/>
        <name val="Aptos Narrow"/>
        <scheme val="none"/>
      </font>
    </dxf>
    <dxf>
      <font>
        <b val="0"/>
        <i val="0"/>
        <strike val="0"/>
        <u val="none"/>
        <sz val="11"/>
        <color theme="1"/>
        <name val="Aptos Narrow"/>
        <scheme val="none"/>
      </font>
    </dxf>
    <dxf>
      <font>
        <b val="0"/>
        <i val="0"/>
        <strike val="0"/>
        <u val="none"/>
        <sz val="11"/>
        <color theme="1"/>
        <name val="Aptos Narrow"/>
        <scheme val="none"/>
      </font>
    </dxf>
    <dxf>
      <font>
        <b val="0"/>
        <i val="0"/>
        <strike val="0"/>
        <u val="none"/>
        <sz val="11"/>
        <color theme="1"/>
        <name val="Aptos Narrow"/>
        <scheme val="none"/>
      </font>
    </dxf>
    <dxf>
      <font>
        <b val="0"/>
        <i val="0"/>
        <strike val="0"/>
        <u val="none"/>
        <sz val="11"/>
        <color theme="1"/>
        <name val="Aptos Narrow"/>
        <scheme val="none"/>
      </font>
    </dxf>
    <dxf>
      <font>
        <b val="0"/>
        <i val="0"/>
        <strike val="0"/>
        <u val="none"/>
        <sz val="11"/>
        <color theme="1"/>
        <name val="Aptos Narrow"/>
        <scheme val="none"/>
      </font>
      <numFmt numFmtId="19" formatCode="dd/mm/yyyy"/>
    </dxf>
    <dxf>
      <font>
        <b val="0"/>
        <i val="0"/>
        <strike val="0"/>
        <u val="none"/>
        <sz val="11"/>
        <color theme="1"/>
        <name val="Aptos Narrow"/>
        <scheme val="none"/>
      </font>
      <numFmt numFmtId="19" formatCode="dd/mm/yyyy"/>
    </dxf>
    <dxf>
      <font>
        <b val="0"/>
        <i val="0"/>
        <strike val="0"/>
        <u val="none"/>
        <sz val="11"/>
        <color theme="1"/>
        <name val="Aptos Narrow"/>
        <scheme val="none"/>
      </font>
    </dxf>
    <dxf>
      <font>
        <b val="0"/>
        <i val="0"/>
        <strike val="0"/>
        <u val="none"/>
        <sz val="11"/>
        <color theme="1"/>
        <name val="Aptos Narrow"/>
        <scheme val="none"/>
      </font>
    </dxf>
    <dxf>
      <font>
        <b val="0"/>
        <i val="0"/>
        <strike val="0"/>
        <u val="none"/>
        <sz val="11"/>
        <color theme="1"/>
        <name val="Aptos Narrow"/>
        <scheme val="none"/>
      </font>
    </dxf>
    <dxf>
      <font>
        <b val="0"/>
        <i val="0"/>
        <strike val="0"/>
        <u val="none"/>
        <sz val="11"/>
        <color theme="1"/>
        <name val="Aptos Narrow"/>
        <scheme val="none"/>
      </font>
    </dxf>
    <dxf>
      <font>
        <b val="0"/>
        <i val="0"/>
        <strike val="0"/>
        <u val="none"/>
        <sz val="11"/>
        <color theme="1"/>
        <name val="Aptos Narrow"/>
        <scheme val="none"/>
      </font>
    </dxf>
    <dxf>
      <font>
        <b val="0"/>
        <i val="0"/>
        <strike val="0"/>
        <u val="none"/>
        <sz val="11"/>
        <color theme="1"/>
        <name val="Aptos Narrow"/>
        <scheme val="none"/>
      </font>
    </dxf>
    <dxf>
      <font>
        <b val="0"/>
        <i val="0"/>
        <strike val="0"/>
        <u val="none"/>
        <sz val="11"/>
        <color theme="1"/>
        <name val="Aptos Narrow"/>
        <scheme val="none"/>
      </font>
    </dxf>
    <dxf>
      <font>
        <b val="0"/>
        <i val="0"/>
        <strike val="0"/>
        <u val="none"/>
        <sz val="11"/>
        <color theme="1"/>
        <name val="Aptos Narrow"/>
        <scheme val="none"/>
      </font>
    </dxf>
    <dxf>
      <font>
        <b val="0"/>
        <i val="0"/>
        <strike val="0"/>
        <u val="none"/>
        <sz val="11"/>
        <color theme="1"/>
        <name val="Aptos Narrow"/>
        <scheme val="none"/>
      </font>
    </dxf>
    <dxf>
      <font>
        <b val="0"/>
        <i val="0"/>
        <strike val="0"/>
        <u val="none"/>
        <sz val="11"/>
        <color theme="1"/>
        <name val="Aptos Narrow"/>
        <scheme val="none"/>
      </font>
    </dxf>
    <dxf>
      <font>
        <b val="0"/>
        <i val="0"/>
        <strike val="0"/>
        <u val="none"/>
        <sz val="11"/>
        <color theme="1"/>
        <name val="Aptos Narrow"/>
        <scheme val="none"/>
      </font>
    </dxf>
    <dxf>
      <font>
        <b val="0"/>
        <i val="0"/>
        <strike val="0"/>
        <u val="none"/>
        <sz val="11"/>
        <color theme="1"/>
        <name val="Aptos Narrow"/>
        <scheme val="none"/>
      </font>
    </dxf>
    <dxf>
      <font>
        <b val="0"/>
        <i val="0"/>
        <strike val="0"/>
        <u val="none"/>
        <sz val="11"/>
        <color theme="1"/>
        <name val="Aptos Narrow"/>
        <scheme val="none"/>
      </font>
    </dxf>
    <dxf>
      <font>
        <b val="0"/>
        <i val="0"/>
        <strike val="0"/>
        <u val="none"/>
        <sz val="11"/>
        <color theme="1"/>
        <name val="Aptos Narrow"/>
        <scheme val="none"/>
      </font>
    </dxf>
    <dxf>
      <font>
        <b val="0"/>
        <i val="0"/>
        <strike val="0"/>
        <u val="none"/>
        <sz val="11"/>
        <color theme="1"/>
        <name val="Aptos Narrow"/>
        <scheme val="none"/>
      </font>
    </dxf>
    <dxf>
      <font>
        <b val="0"/>
        <i val="0"/>
        <strike val="0"/>
        <u val="none"/>
        <sz val="11"/>
        <color theme="1"/>
        <name val="Aptos Narrow"/>
        <scheme val="none"/>
      </font>
    </dxf>
    <dxf>
      <font>
        <b val="0"/>
        <i val="0"/>
        <strike val="0"/>
        <u val="none"/>
        <sz val="11"/>
        <color theme="1"/>
        <name val="Aptos Narrow"/>
        <scheme val="none"/>
      </font>
    </dxf>
    <dxf>
      <font>
        <b val="0"/>
        <i val="0"/>
        <strike val="0"/>
        <u val="none"/>
        <sz val="11"/>
        <color theme="1"/>
        <name val="Aptos Narrow"/>
        <scheme val="none"/>
      </font>
    </dxf>
    <dxf>
      <font>
        <b val="0"/>
        <i val="0"/>
        <strike val="0"/>
        <u val="none"/>
        <sz val="11"/>
        <color theme="1"/>
        <name val="Aptos Narrow"/>
        <scheme val="none"/>
      </font>
    </dxf>
    <dxf>
      <font>
        <b val="0"/>
        <i val="0"/>
        <strike val="0"/>
        <u val="none"/>
        <sz val="11"/>
        <color theme="1"/>
        <name val="Aptos Narrow"/>
        <scheme val="none"/>
      </font>
    </dxf>
    <dxf>
      <font>
        <b val="0"/>
        <i val="0"/>
        <strike val="0"/>
        <u val="none"/>
        <sz val="10"/>
        <color theme="1"/>
        <name val="Aptos Narrow"/>
        <scheme val="none"/>
      </font>
    </dxf>
    <dxf>
      <font>
        <b val="0"/>
        <i val="0"/>
        <strike val="0"/>
        <u val="none"/>
        <sz val="10"/>
        <color theme="1"/>
        <name val="Aptos Narrow"/>
        <scheme val="none"/>
      </font>
    </dxf>
    <dxf>
      <font>
        <b val="0"/>
        <i val="0"/>
        <strike val="0"/>
        <u val="none"/>
        <sz val="10"/>
        <color theme="1"/>
        <name val="Aptos Narrow"/>
        <scheme val="none"/>
      </font>
    </dxf>
    <dxf>
      <font>
        <b val="0"/>
        <i val="0"/>
        <strike val="0"/>
        <u val="none"/>
        <sz val="10"/>
        <color theme="1"/>
        <name val="Aptos Narrow"/>
        <scheme val="none"/>
      </font>
      <numFmt numFmtId="166" formatCode="yyyy/mm/dd"/>
    </dxf>
    <dxf>
      <font>
        <b val="0"/>
        <i val="0"/>
        <strike val="0"/>
        <u val="none"/>
        <sz val="10"/>
        <color theme="1"/>
        <name val="Aptos Narrow"/>
        <scheme val="none"/>
      </font>
      <numFmt numFmtId="166" formatCode="yyyy/mm/dd"/>
    </dxf>
    <dxf>
      <font>
        <b val="0"/>
        <i val="0"/>
        <strike val="0"/>
        <u val="none"/>
        <sz val="10"/>
        <color theme="1"/>
        <name val="Aptos Narrow"/>
        <scheme val="none"/>
      </font>
    </dxf>
    <dxf>
      <font>
        <b val="0"/>
        <i val="0"/>
        <strike val="0"/>
        <u val="none"/>
        <sz val="10"/>
        <color theme="1"/>
        <name val="Aptos Narrow"/>
        <scheme val="none"/>
      </font>
    </dxf>
    <dxf>
      <font>
        <b val="0"/>
        <i val="0"/>
        <strike val="0"/>
        <u val="none"/>
        <sz val="10"/>
        <color theme="1"/>
        <name val="Aptos Narrow"/>
        <scheme val="none"/>
      </font>
    </dxf>
    <dxf>
      <font>
        <b val="0"/>
        <i val="0"/>
        <strike val="0"/>
        <u val="none"/>
        <sz val="10"/>
        <color theme="1"/>
        <name val="Aptos Narrow"/>
        <scheme val="none"/>
      </font>
    </dxf>
    <dxf>
      <font>
        <b val="0"/>
        <i val="0"/>
        <strike val="0"/>
        <u val="none"/>
        <sz val="11"/>
        <color theme="1"/>
        <name val="Aptos Narrow"/>
        <scheme val="none"/>
      </font>
    </dxf>
    <dxf>
      <font>
        <b val="0"/>
        <i val="0"/>
        <strike val="0"/>
        <u val="none"/>
        <sz val="11"/>
        <color theme="1"/>
        <name val="Aptos Narrow"/>
        <scheme val="none"/>
      </font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69"/>
      <tableStyleElement type="headerRow" dxfId="68"/>
      <tableStyleElement type="totalRow" dxfId="67"/>
      <tableStyleElement type="firstColumn" dxfId="66"/>
      <tableStyleElement type="lastColumn" dxfId="65"/>
      <tableStyleElement type="firstRowStripe" dxfId="64"/>
      <tableStyleElement type="firstColumnStripe" dxfId="63"/>
    </tableStyle>
    <tableStyle name="PivotStylePreset2_Accent1" table="0" count="10">
      <tableStyleElement type="headerRow" dxfId="62"/>
      <tableStyleElement type="totalRow" dxfId="61"/>
      <tableStyleElement type="firstRowStripe" dxfId="60"/>
      <tableStyleElement type="firstColumnStripe" dxfId="59"/>
      <tableStyleElement type="firstSubtotalRow" dxfId="58"/>
      <tableStyleElement type="secondSubtotalRow" dxfId="57"/>
      <tableStyleElement type="firstRowSubheading" dxfId="56"/>
      <tableStyleElement type="secondRowSubheading" dxfId="55"/>
      <tableStyleElement type="pageFieldLabels" dxfId="54"/>
      <tableStyleElement type="pageFieldValues" dxfId="5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  <a:r>
              <a:rPr lang="zh-CN" altLang="en-US"/>
              <a:t>标题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1400" b="0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Microsoft YaHei" panose="020B0503020204020204" pitchFamily="34" charset="-122"/>
              <a:ea typeface="Microsoft YaHei" panose="020B0503020204020204" pitchFamily="34" charset="-122"/>
              <a:cs typeface="Microsoft YaHei" panose="020B0503020204020204" pitchFamily="34" charset="-122"/>
              <a:sym typeface="Microsoft YaHei" panose="020B0503020204020204" pitchFamily="34" charset="-122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Sheet5!$D$1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Sheet5!$B$2:$B$499</c:f>
              <c:strCache>
                <c:ptCount val="498"/>
                <c:pt idx="0">
                  <c:v>East</c:v>
                </c:pt>
                <c:pt idx="1">
                  <c:v>West</c:v>
                </c:pt>
                <c:pt idx="2">
                  <c:v>North</c:v>
                </c:pt>
                <c:pt idx="3">
                  <c:v>South</c:v>
                </c:pt>
                <c:pt idx="4">
                  <c:v>East</c:v>
                </c:pt>
                <c:pt idx="5">
                  <c:v>West</c:v>
                </c:pt>
                <c:pt idx="6">
                  <c:v>North</c:v>
                </c:pt>
                <c:pt idx="7">
                  <c:v>South</c:v>
                </c:pt>
                <c:pt idx="8">
                  <c:v>East</c:v>
                </c:pt>
                <c:pt idx="9">
                  <c:v>West</c:v>
                </c:pt>
                <c:pt idx="10">
                  <c:v>North</c:v>
                </c:pt>
                <c:pt idx="11">
                  <c:v>South</c:v>
                </c:pt>
                <c:pt idx="12">
                  <c:v>East</c:v>
                </c:pt>
                <c:pt idx="13">
                  <c:v>West</c:v>
                </c:pt>
                <c:pt idx="14">
                  <c:v>North</c:v>
                </c:pt>
                <c:pt idx="15">
                  <c:v>South</c:v>
                </c:pt>
                <c:pt idx="16">
                  <c:v>East</c:v>
                </c:pt>
                <c:pt idx="17">
                  <c:v>West</c:v>
                </c:pt>
                <c:pt idx="18">
                  <c:v>North</c:v>
                </c:pt>
                <c:pt idx="19">
                  <c:v>South</c:v>
                </c:pt>
                <c:pt idx="20">
                  <c:v>East</c:v>
                </c:pt>
                <c:pt idx="21">
                  <c:v>West</c:v>
                </c:pt>
                <c:pt idx="22">
                  <c:v>North</c:v>
                </c:pt>
                <c:pt idx="23">
                  <c:v>South</c:v>
                </c:pt>
                <c:pt idx="24">
                  <c:v>East</c:v>
                </c:pt>
                <c:pt idx="25">
                  <c:v>West</c:v>
                </c:pt>
                <c:pt idx="26">
                  <c:v>North</c:v>
                </c:pt>
                <c:pt idx="27">
                  <c:v>South</c:v>
                </c:pt>
                <c:pt idx="28">
                  <c:v>East</c:v>
                </c:pt>
                <c:pt idx="29">
                  <c:v>West</c:v>
                </c:pt>
                <c:pt idx="30">
                  <c:v>North</c:v>
                </c:pt>
                <c:pt idx="31">
                  <c:v>South</c:v>
                </c:pt>
                <c:pt idx="32">
                  <c:v>East</c:v>
                </c:pt>
                <c:pt idx="33">
                  <c:v>West</c:v>
                </c:pt>
                <c:pt idx="34">
                  <c:v>North</c:v>
                </c:pt>
                <c:pt idx="35">
                  <c:v>South</c:v>
                </c:pt>
                <c:pt idx="36">
                  <c:v>East</c:v>
                </c:pt>
                <c:pt idx="37">
                  <c:v>West</c:v>
                </c:pt>
                <c:pt idx="38">
                  <c:v>North</c:v>
                </c:pt>
                <c:pt idx="39">
                  <c:v>South</c:v>
                </c:pt>
                <c:pt idx="40">
                  <c:v>East</c:v>
                </c:pt>
                <c:pt idx="41">
                  <c:v>West</c:v>
                </c:pt>
                <c:pt idx="42">
                  <c:v>North</c:v>
                </c:pt>
                <c:pt idx="43">
                  <c:v>South</c:v>
                </c:pt>
                <c:pt idx="44">
                  <c:v>East</c:v>
                </c:pt>
                <c:pt idx="45">
                  <c:v>West</c:v>
                </c:pt>
                <c:pt idx="46">
                  <c:v>North</c:v>
                </c:pt>
                <c:pt idx="47">
                  <c:v>South</c:v>
                </c:pt>
                <c:pt idx="48">
                  <c:v>East</c:v>
                </c:pt>
                <c:pt idx="49">
                  <c:v>West</c:v>
                </c:pt>
                <c:pt idx="50">
                  <c:v>North</c:v>
                </c:pt>
                <c:pt idx="51">
                  <c:v>South</c:v>
                </c:pt>
                <c:pt idx="52">
                  <c:v>East</c:v>
                </c:pt>
                <c:pt idx="53">
                  <c:v>West</c:v>
                </c:pt>
                <c:pt idx="54">
                  <c:v>North</c:v>
                </c:pt>
                <c:pt idx="55">
                  <c:v>South</c:v>
                </c:pt>
                <c:pt idx="56">
                  <c:v>East</c:v>
                </c:pt>
                <c:pt idx="57">
                  <c:v>West</c:v>
                </c:pt>
                <c:pt idx="58">
                  <c:v>North</c:v>
                </c:pt>
                <c:pt idx="59">
                  <c:v>South</c:v>
                </c:pt>
                <c:pt idx="60">
                  <c:v>East</c:v>
                </c:pt>
                <c:pt idx="61">
                  <c:v>West</c:v>
                </c:pt>
                <c:pt idx="62">
                  <c:v>North</c:v>
                </c:pt>
                <c:pt idx="63">
                  <c:v>South</c:v>
                </c:pt>
                <c:pt idx="64">
                  <c:v>East</c:v>
                </c:pt>
                <c:pt idx="65">
                  <c:v>West</c:v>
                </c:pt>
                <c:pt idx="66">
                  <c:v>North</c:v>
                </c:pt>
                <c:pt idx="67">
                  <c:v>South</c:v>
                </c:pt>
                <c:pt idx="68">
                  <c:v>East</c:v>
                </c:pt>
                <c:pt idx="69">
                  <c:v>West</c:v>
                </c:pt>
                <c:pt idx="70">
                  <c:v>North</c:v>
                </c:pt>
                <c:pt idx="71">
                  <c:v>South</c:v>
                </c:pt>
                <c:pt idx="72">
                  <c:v>East</c:v>
                </c:pt>
                <c:pt idx="73">
                  <c:v>West</c:v>
                </c:pt>
                <c:pt idx="74">
                  <c:v>North</c:v>
                </c:pt>
                <c:pt idx="75">
                  <c:v>South</c:v>
                </c:pt>
                <c:pt idx="76">
                  <c:v>East</c:v>
                </c:pt>
                <c:pt idx="77">
                  <c:v>West</c:v>
                </c:pt>
                <c:pt idx="78">
                  <c:v>North</c:v>
                </c:pt>
                <c:pt idx="79">
                  <c:v>South</c:v>
                </c:pt>
                <c:pt idx="80">
                  <c:v>East</c:v>
                </c:pt>
                <c:pt idx="81">
                  <c:v>West</c:v>
                </c:pt>
                <c:pt idx="82">
                  <c:v>North</c:v>
                </c:pt>
                <c:pt idx="83">
                  <c:v>South</c:v>
                </c:pt>
                <c:pt idx="84">
                  <c:v>East</c:v>
                </c:pt>
                <c:pt idx="85">
                  <c:v>West</c:v>
                </c:pt>
                <c:pt idx="86">
                  <c:v>North</c:v>
                </c:pt>
                <c:pt idx="87">
                  <c:v>South</c:v>
                </c:pt>
                <c:pt idx="88">
                  <c:v>East</c:v>
                </c:pt>
                <c:pt idx="89">
                  <c:v>West</c:v>
                </c:pt>
                <c:pt idx="90">
                  <c:v>North</c:v>
                </c:pt>
                <c:pt idx="91">
                  <c:v>South</c:v>
                </c:pt>
                <c:pt idx="92">
                  <c:v>East</c:v>
                </c:pt>
                <c:pt idx="93">
                  <c:v>West</c:v>
                </c:pt>
                <c:pt idx="94">
                  <c:v>North</c:v>
                </c:pt>
                <c:pt idx="95">
                  <c:v>South</c:v>
                </c:pt>
                <c:pt idx="96">
                  <c:v>East</c:v>
                </c:pt>
                <c:pt idx="97">
                  <c:v>West</c:v>
                </c:pt>
                <c:pt idx="98">
                  <c:v>North</c:v>
                </c:pt>
                <c:pt idx="99">
                  <c:v>South</c:v>
                </c:pt>
                <c:pt idx="100">
                  <c:v>East</c:v>
                </c:pt>
                <c:pt idx="101">
                  <c:v>West</c:v>
                </c:pt>
                <c:pt idx="102">
                  <c:v>North</c:v>
                </c:pt>
                <c:pt idx="103">
                  <c:v>South</c:v>
                </c:pt>
                <c:pt idx="104">
                  <c:v>East</c:v>
                </c:pt>
                <c:pt idx="105">
                  <c:v>West</c:v>
                </c:pt>
                <c:pt idx="106">
                  <c:v>North</c:v>
                </c:pt>
                <c:pt idx="107">
                  <c:v>South</c:v>
                </c:pt>
                <c:pt idx="108">
                  <c:v>East</c:v>
                </c:pt>
                <c:pt idx="109">
                  <c:v>West</c:v>
                </c:pt>
                <c:pt idx="110">
                  <c:v>North</c:v>
                </c:pt>
                <c:pt idx="111">
                  <c:v>South</c:v>
                </c:pt>
                <c:pt idx="112">
                  <c:v>East</c:v>
                </c:pt>
                <c:pt idx="113">
                  <c:v>West</c:v>
                </c:pt>
                <c:pt idx="114">
                  <c:v>North</c:v>
                </c:pt>
                <c:pt idx="115">
                  <c:v>South</c:v>
                </c:pt>
                <c:pt idx="116">
                  <c:v>East</c:v>
                </c:pt>
                <c:pt idx="117">
                  <c:v>West</c:v>
                </c:pt>
                <c:pt idx="118">
                  <c:v>North</c:v>
                </c:pt>
                <c:pt idx="119">
                  <c:v>South</c:v>
                </c:pt>
                <c:pt idx="120">
                  <c:v>East</c:v>
                </c:pt>
                <c:pt idx="121">
                  <c:v>West</c:v>
                </c:pt>
                <c:pt idx="122">
                  <c:v>North</c:v>
                </c:pt>
                <c:pt idx="123">
                  <c:v>South</c:v>
                </c:pt>
                <c:pt idx="124">
                  <c:v>East</c:v>
                </c:pt>
                <c:pt idx="125">
                  <c:v>West</c:v>
                </c:pt>
                <c:pt idx="126">
                  <c:v>North</c:v>
                </c:pt>
                <c:pt idx="127">
                  <c:v>South</c:v>
                </c:pt>
                <c:pt idx="128">
                  <c:v>East</c:v>
                </c:pt>
                <c:pt idx="129">
                  <c:v>West</c:v>
                </c:pt>
                <c:pt idx="130">
                  <c:v>North</c:v>
                </c:pt>
                <c:pt idx="131">
                  <c:v>South</c:v>
                </c:pt>
                <c:pt idx="132">
                  <c:v>East</c:v>
                </c:pt>
                <c:pt idx="133">
                  <c:v>West</c:v>
                </c:pt>
                <c:pt idx="134">
                  <c:v>North</c:v>
                </c:pt>
                <c:pt idx="135">
                  <c:v>South</c:v>
                </c:pt>
                <c:pt idx="136">
                  <c:v>East</c:v>
                </c:pt>
                <c:pt idx="137">
                  <c:v>West</c:v>
                </c:pt>
                <c:pt idx="138">
                  <c:v>North</c:v>
                </c:pt>
                <c:pt idx="139">
                  <c:v>South</c:v>
                </c:pt>
                <c:pt idx="140">
                  <c:v>East</c:v>
                </c:pt>
                <c:pt idx="141">
                  <c:v>West</c:v>
                </c:pt>
                <c:pt idx="142">
                  <c:v>North</c:v>
                </c:pt>
                <c:pt idx="143">
                  <c:v>South</c:v>
                </c:pt>
                <c:pt idx="144">
                  <c:v>East</c:v>
                </c:pt>
                <c:pt idx="145">
                  <c:v>West</c:v>
                </c:pt>
                <c:pt idx="146">
                  <c:v>North</c:v>
                </c:pt>
                <c:pt idx="147">
                  <c:v>South</c:v>
                </c:pt>
                <c:pt idx="148">
                  <c:v>East</c:v>
                </c:pt>
                <c:pt idx="149">
                  <c:v>West</c:v>
                </c:pt>
                <c:pt idx="150">
                  <c:v>North</c:v>
                </c:pt>
                <c:pt idx="151">
                  <c:v>South</c:v>
                </c:pt>
                <c:pt idx="152">
                  <c:v>East</c:v>
                </c:pt>
                <c:pt idx="153">
                  <c:v>West</c:v>
                </c:pt>
                <c:pt idx="154">
                  <c:v>North</c:v>
                </c:pt>
                <c:pt idx="155">
                  <c:v>South</c:v>
                </c:pt>
                <c:pt idx="156">
                  <c:v>East</c:v>
                </c:pt>
                <c:pt idx="157">
                  <c:v>West</c:v>
                </c:pt>
                <c:pt idx="158">
                  <c:v>North</c:v>
                </c:pt>
                <c:pt idx="159">
                  <c:v>South</c:v>
                </c:pt>
                <c:pt idx="160">
                  <c:v>East</c:v>
                </c:pt>
                <c:pt idx="161">
                  <c:v>West</c:v>
                </c:pt>
                <c:pt idx="162">
                  <c:v>North</c:v>
                </c:pt>
                <c:pt idx="163">
                  <c:v>South</c:v>
                </c:pt>
                <c:pt idx="164">
                  <c:v>East</c:v>
                </c:pt>
                <c:pt idx="165">
                  <c:v>West</c:v>
                </c:pt>
                <c:pt idx="166">
                  <c:v>North</c:v>
                </c:pt>
                <c:pt idx="167">
                  <c:v>South</c:v>
                </c:pt>
                <c:pt idx="168">
                  <c:v>East</c:v>
                </c:pt>
                <c:pt idx="169">
                  <c:v>West</c:v>
                </c:pt>
                <c:pt idx="170">
                  <c:v>North</c:v>
                </c:pt>
                <c:pt idx="171">
                  <c:v>South</c:v>
                </c:pt>
                <c:pt idx="172">
                  <c:v>East</c:v>
                </c:pt>
                <c:pt idx="173">
                  <c:v>West</c:v>
                </c:pt>
                <c:pt idx="174">
                  <c:v>North</c:v>
                </c:pt>
                <c:pt idx="175">
                  <c:v>South</c:v>
                </c:pt>
                <c:pt idx="176">
                  <c:v>East</c:v>
                </c:pt>
                <c:pt idx="177">
                  <c:v>West</c:v>
                </c:pt>
                <c:pt idx="178">
                  <c:v>North</c:v>
                </c:pt>
                <c:pt idx="179">
                  <c:v>South</c:v>
                </c:pt>
                <c:pt idx="180">
                  <c:v>East</c:v>
                </c:pt>
                <c:pt idx="181">
                  <c:v>West</c:v>
                </c:pt>
                <c:pt idx="182">
                  <c:v>North</c:v>
                </c:pt>
                <c:pt idx="183">
                  <c:v>South</c:v>
                </c:pt>
                <c:pt idx="184">
                  <c:v>East</c:v>
                </c:pt>
                <c:pt idx="185">
                  <c:v>West</c:v>
                </c:pt>
                <c:pt idx="186">
                  <c:v>North</c:v>
                </c:pt>
                <c:pt idx="187">
                  <c:v>South</c:v>
                </c:pt>
                <c:pt idx="188">
                  <c:v>East</c:v>
                </c:pt>
                <c:pt idx="189">
                  <c:v>West</c:v>
                </c:pt>
                <c:pt idx="190">
                  <c:v>North</c:v>
                </c:pt>
                <c:pt idx="191">
                  <c:v>South</c:v>
                </c:pt>
                <c:pt idx="192">
                  <c:v>East</c:v>
                </c:pt>
                <c:pt idx="193">
                  <c:v>West</c:v>
                </c:pt>
                <c:pt idx="194">
                  <c:v>North</c:v>
                </c:pt>
                <c:pt idx="195">
                  <c:v>South</c:v>
                </c:pt>
                <c:pt idx="196">
                  <c:v>East</c:v>
                </c:pt>
                <c:pt idx="197">
                  <c:v>West</c:v>
                </c:pt>
                <c:pt idx="198">
                  <c:v>North</c:v>
                </c:pt>
                <c:pt idx="199">
                  <c:v>South</c:v>
                </c:pt>
                <c:pt idx="200">
                  <c:v>East</c:v>
                </c:pt>
                <c:pt idx="201">
                  <c:v>West</c:v>
                </c:pt>
                <c:pt idx="202">
                  <c:v>North</c:v>
                </c:pt>
                <c:pt idx="203">
                  <c:v>South</c:v>
                </c:pt>
                <c:pt idx="204">
                  <c:v>East</c:v>
                </c:pt>
                <c:pt idx="205">
                  <c:v>West</c:v>
                </c:pt>
                <c:pt idx="206">
                  <c:v>North</c:v>
                </c:pt>
                <c:pt idx="207">
                  <c:v>South</c:v>
                </c:pt>
                <c:pt idx="208">
                  <c:v>East</c:v>
                </c:pt>
                <c:pt idx="209">
                  <c:v>West</c:v>
                </c:pt>
                <c:pt idx="210">
                  <c:v>North</c:v>
                </c:pt>
                <c:pt idx="211">
                  <c:v>South</c:v>
                </c:pt>
                <c:pt idx="212">
                  <c:v>East</c:v>
                </c:pt>
                <c:pt idx="213">
                  <c:v>West</c:v>
                </c:pt>
                <c:pt idx="214">
                  <c:v>North</c:v>
                </c:pt>
                <c:pt idx="215">
                  <c:v>South</c:v>
                </c:pt>
                <c:pt idx="216">
                  <c:v>East</c:v>
                </c:pt>
                <c:pt idx="217">
                  <c:v>West</c:v>
                </c:pt>
                <c:pt idx="218">
                  <c:v>North</c:v>
                </c:pt>
                <c:pt idx="219">
                  <c:v>South</c:v>
                </c:pt>
                <c:pt idx="220">
                  <c:v>East</c:v>
                </c:pt>
                <c:pt idx="221">
                  <c:v>West</c:v>
                </c:pt>
                <c:pt idx="222">
                  <c:v>North</c:v>
                </c:pt>
                <c:pt idx="223">
                  <c:v>South</c:v>
                </c:pt>
                <c:pt idx="224">
                  <c:v>East</c:v>
                </c:pt>
                <c:pt idx="225">
                  <c:v>West</c:v>
                </c:pt>
                <c:pt idx="226">
                  <c:v>North</c:v>
                </c:pt>
                <c:pt idx="227">
                  <c:v>South</c:v>
                </c:pt>
                <c:pt idx="228">
                  <c:v>East</c:v>
                </c:pt>
                <c:pt idx="229">
                  <c:v>West</c:v>
                </c:pt>
                <c:pt idx="230">
                  <c:v>North</c:v>
                </c:pt>
                <c:pt idx="231">
                  <c:v>South</c:v>
                </c:pt>
                <c:pt idx="232">
                  <c:v>East</c:v>
                </c:pt>
                <c:pt idx="233">
                  <c:v>West</c:v>
                </c:pt>
                <c:pt idx="234">
                  <c:v>North</c:v>
                </c:pt>
                <c:pt idx="235">
                  <c:v>South</c:v>
                </c:pt>
                <c:pt idx="236">
                  <c:v>East</c:v>
                </c:pt>
                <c:pt idx="237">
                  <c:v>West</c:v>
                </c:pt>
                <c:pt idx="238">
                  <c:v>North</c:v>
                </c:pt>
                <c:pt idx="239">
                  <c:v>South</c:v>
                </c:pt>
                <c:pt idx="240">
                  <c:v>East</c:v>
                </c:pt>
                <c:pt idx="241">
                  <c:v>West</c:v>
                </c:pt>
                <c:pt idx="242">
                  <c:v>North</c:v>
                </c:pt>
                <c:pt idx="243">
                  <c:v>South</c:v>
                </c:pt>
                <c:pt idx="244">
                  <c:v>East</c:v>
                </c:pt>
                <c:pt idx="245">
                  <c:v>West</c:v>
                </c:pt>
                <c:pt idx="246">
                  <c:v>North</c:v>
                </c:pt>
                <c:pt idx="247">
                  <c:v>South</c:v>
                </c:pt>
                <c:pt idx="248">
                  <c:v>East</c:v>
                </c:pt>
                <c:pt idx="249">
                  <c:v>West</c:v>
                </c:pt>
                <c:pt idx="250">
                  <c:v>North</c:v>
                </c:pt>
                <c:pt idx="251">
                  <c:v>South</c:v>
                </c:pt>
                <c:pt idx="252">
                  <c:v>East</c:v>
                </c:pt>
                <c:pt idx="253">
                  <c:v>West</c:v>
                </c:pt>
                <c:pt idx="254">
                  <c:v>North</c:v>
                </c:pt>
                <c:pt idx="255">
                  <c:v>South</c:v>
                </c:pt>
                <c:pt idx="256">
                  <c:v>East</c:v>
                </c:pt>
                <c:pt idx="257">
                  <c:v>West</c:v>
                </c:pt>
                <c:pt idx="258">
                  <c:v>North</c:v>
                </c:pt>
                <c:pt idx="259">
                  <c:v>South</c:v>
                </c:pt>
                <c:pt idx="260">
                  <c:v>East</c:v>
                </c:pt>
                <c:pt idx="261">
                  <c:v>West</c:v>
                </c:pt>
                <c:pt idx="262">
                  <c:v>North</c:v>
                </c:pt>
                <c:pt idx="263">
                  <c:v>South</c:v>
                </c:pt>
                <c:pt idx="264">
                  <c:v>East</c:v>
                </c:pt>
                <c:pt idx="265">
                  <c:v>West</c:v>
                </c:pt>
                <c:pt idx="266">
                  <c:v>North</c:v>
                </c:pt>
                <c:pt idx="267">
                  <c:v>South</c:v>
                </c:pt>
                <c:pt idx="268">
                  <c:v>East</c:v>
                </c:pt>
                <c:pt idx="269">
                  <c:v>West</c:v>
                </c:pt>
                <c:pt idx="270">
                  <c:v>North</c:v>
                </c:pt>
                <c:pt idx="271">
                  <c:v>South</c:v>
                </c:pt>
                <c:pt idx="272">
                  <c:v>East</c:v>
                </c:pt>
                <c:pt idx="273">
                  <c:v>West</c:v>
                </c:pt>
                <c:pt idx="274">
                  <c:v>North</c:v>
                </c:pt>
                <c:pt idx="275">
                  <c:v>South</c:v>
                </c:pt>
                <c:pt idx="276">
                  <c:v>East</c:v>
                </c:pt>
                <c:pt idx="277">
                  <c:v>West</c:v>
                </c:pt>
                <c:pt idx="278">
                  <c:v>North</c:v>
                </c:pt>
                <c:pt idx="279">
                  <c:v>South</c:v>
                </c:pt>
                <c:pt idx="280">
                  <c:v>East</c:v>
                </c:pt>
                <c:pt idx="281">
                  <c:v>West</c:v>
                </c:pt>
                <c:pt idx="282">
                  <c:v>North</c:v>
                </c:pt>
                <c:pt idx="283">
                  <c:v>South</c:v>
                </c:pt>
                <c:pt idx="284">
                  <c:v>East</c:v>
                </c:pt>
                <c:pt idx="285">
                  <c:v>West</c:v>
                </c:pt>
                <c:pt idx="286">
                  <c:v>North</c:v>
                </c:pt>
                <c:pt idx="287">
                  <c:v>South</c:v>
                </c:pt>
                <c:pt idx="288">
                  <c:v>East</c:v>
                </c:pt>
                <c:pt idx="289">
                  <c:v>West</c:v>
                </c:pt>
                <c:pt idx="290">
                  <c:v>North</c:v>
                </c:pt>
                <c:pt idx="291">
                  <c:v>South</c:v>
                </c:pt>
                <c:pt idx="292">
                  <c:v>East</c:v>
                </c:pt>
                <c:pt idx="293">
                  <c:v>West</c:v>
                </c:pt>
                <c:pt idx="294">
                  <c:v>North</c:v>
                </c:pt>
                <c:pt idx="295">
                  <c:v>South</c:v>
                </c:pt>
                <c:pt idx="296">
                  <c:v>East</c:v>
                </c:pt>
                <c:pt idx="297">
                  <c:v>West</c:v>
                </c:pt>
                <c:pt idx="298">
                  <c:v>North</c:v>
                </c:pt>
                <c:pt idx="299">
                  <c:v>South</c:v>
                </c:pt>
                <c:pt idx="300">
                  <c:v>East</c:v>
                </c:pt>
                <c:pt idx="301">
                  <c:v>West</c:v>
                </c:pt>
                <c:pt idx="302">
                  <c:v>North</c:v>
                </c:pt>
                <c:pt idx="303">
                  <c:v>South</c:v>
                </c:pt>
                <c:pt idx="304">
                  <c:v>East</c:v>
                </c:pt>
                <c:pt idx="305">
                  <c:v>West</c:v>
                </c:pt>
                <c:pt idx="306">
                  <c:v>North</c:v>
                </c:pt>
                <c:pt idx="307">
                  <c:v>South</c:v>
                </c:pt>
                <c:pt idx="308">
                  <c:v>East</c:v>
                </c:pt>
                <c:pt idx="309">
                  <c:v>West</c:v>
                </c:pt>
                <c:pt idx="310">
                  <c:v>North</c:v>
                </c:pt>
                <c:pt idx="311">
                  <c:v>South</c:v>
                </c:pt>
                <c:pt idx="312">
                  <c:v>East</c:v>
                </c:pt>
                <c:pt idx="313">
                  <c:v>West</c:v>
                </c:pt>
                <c:pt idx="314">
                  <c:v>North</c:v>
                </c:pt>
                <c:pt idx="315">
                  <c:v>South</c:v>
                </c:pt>
                <c:pt idx="316">
                  <c:v>East</c:v>
                </c:pt>
                <c:pt idx="317">
                  <c:v>West</c:v>
                </c:pt>
                <c:pt idx="318">
                  <c:v>North</c:v>
                </c:pt>
                <c:pt idx="319">
                  <c:v>South</c:v>
                </c:pt>
                <c:pt idx="320">
                  <c:v>East</c:v>
                </c:pt>
                <c:pt idx="321">
                  <c:v>West</c:v>
                </c:pt>
                <c:pt idx="322">
                  <c:v>North</c:v>
                </c:pt>
                <c:pt idx="323">
                  <c:v>South</c:v>
                </c:pt>
                <c:pt idx="324">
                  <c:v>East</c:v>
                </c:pt>
                <c:pt idx="325">
                  <c:v>West</c:v>
                </c:pt>
                <c:pt idx="326">
                  <c:v>North</c:v>
                </c:pt>
                <c:pt idx="327">
                  <c:v>South</c:v>
                </c:pt>
                <c:pt idx="328">
                  <c:v>East</c:v>
                </c:pt>
                <c:pt idx="329">
                  <c:v>West</c:v>
                </c:pt>
                <c:pt idx="330">
                  <c:v>North</c:v>
                </c:pt>
                <c:pt idx="331">
                  <c:v>South</c:v>
                </c:pt>
                <c:pt idx="332">
                  <c:v>East</c:v>
                </c:pt>
                <c:pt idx="333">
                  <c:v>West</c:v>
                </c:pt>
                <c:pt idx="334">
                  <c:v>North</c:v>
                </c:pt>
                <c:pt idx="335">
                  <c:v>South</c:v>
                </c:pt>
                <c:pt idx="336">
                  <c:v>East</c:v>
                </c:pt>
                <c:pt idx="337">
                  <c:v>West</c:v>
                </c:pt>
                <c:pt idx="338">
                  <c:v>North</c:v>
                </c:pt>
                <c:pt idx="339">
                  <c:v>South</c:v>
                </c:pt>
                <c:pt idx="340">
                  <c:v>East</c:v>
                </c:pt>
                <c:pt idx="341">
                  <c:v>West</c:v>
                </c:pt>
                <c:pt idx="342">
                  <c:v>North</c:v>
                </c:pt>
                <c:pt idx="343">
                  <c:v>South</c:v>
                </c:pt>
                <c:pt idx="344">
                  <c:v>East</c:v>
                </c:pt>
                <c:pt idx="345">
                  <c:v>West</c:v>
                </c:pt>
                <c:pt idx="346">
                  <c:v>North</c:v>
                </c:pt>
                <c:pt idx="347">
                  <c:v>South</c:v>
                </c:pt>
                <c:pt idx="348">
                  <c:v>East</c:v>
                </c:pt>
                <c:pt idx="349">
                  <c:v>West</c:v>
                </c:pt>
                <c:pt idx="350">
                  <c:v>North</c:v>
                </c:pt>
                <c:pt idx="351">
                  <c:v>South</c:v>
                </c:pt>
                <c:pt idx="352">
                  <c:v>East</c:v>
                </c:pt>
                <c:pt idx="353">
                  <c:v>West</c:v>
                </c:pt>
                <c:pt idx="354">
                  <c:v>North</c:v>
                </c:pt>
                <c:pt idx="355">
                  <c:v>South</c:v>
                </c:pt>
                <c:pt idx="356">
                  <c:v>East</c:v>
                </c:pt>
                <c:pt idx="357">
                  <c:v>West</c:v>
                </c:pt>
                <c:pt idx="358">
                  <c:v>North</c:v>
                </c:pt>
                <c:pt idx="359">
                  <c:v>South</c:v>
                </c:pt>
                <c:pt idx="360">
                  <c:v>East</c:v>
                </c:pt>
                <c:pt idx="361">
                  <c:v>West</c:v>
                </c:pt>
                <c:pt idx="362">
                  <c:v>North</c:v>
                </c:pt>
                <c:pt idx="363">
                  <c:v>South</c:v>
                </c:pt>
                <c:pt idx="364">
                  <c:v>East</c:v>
                </c:pt>
                <c:pt idx="365">
                  <c:v>West</c:v>
                </c:pt>
                <c:pt idx="366">
                  <c:v>North</c:v>
                </c:pt>
                <c:pt idx="367">
                  <c:v>South</c:v>
                </c:pt>
                <c:pt idx="368">
                  <c:v>East</c:v>
                </c:pt>
                <c:pt idx="369">
                  <c:v>West</c:v>
                </c:pt>
                <c:pt idx="370">
                  <c:v>North</c:v>
                </c:pt>
                <c:pt idx="371">
                  <c:v>South</c:v>
                </c:pt>
                <c:pt idx="372">
                  <c:v>East</c:v>
                </c:pt>
                <c:pt idx="373">
                  <c:v>West</c:v>
                </c:pt>
                <c:pt idx="374">
                  <c:v>North</c:v>
                </c:pt>
                <c:pt idx="375">
                  <c:v>South</c:v>
                </c:pt>
                <c:pt idx="376">
                  <c:v>East</c:v>
                </c:pt>
                <c:pt idx="377">
                  <c:v>West</c:v>
                </c:pt>
                <c:pt idx="378">
                  <c:v>North</c:v>
                </c:pt>
                <c:pt idx="379">
                  <c:v>South</c:v>
                </c:pt>
                <c:pt idx="380">
                  <c:v>East</c:v>
                </c:pt>
                <c:pt idx="381">
                  <c:v>West</c:v>
                </c:pt>
                <c:pt idx="382">
                  <c:v>North</c:v>
                </c:pt>
                <c:pt idx="383">
                  <c:v>South</c:v>
                </c:pt>
                <c:pt idx="384">
                  <c:v>East</c:v>
                </c:pt>
                <c:pt idx="385">
                  <c:v>West</c:v>
                </c:pt>
                <c:pt idx="386">
                  <c:v>North</c:v>
                </c:pt>
                <c:pt idx="387">
                  <c:v>South</c:v>
                </c:pt>
                <c:pt idx="388">
                  <c:v>East</c:v>
                </c:pt>
                <c:pt idx="389">
                  <c:v>West</c:v>
                </c:pt>
                <c:pt idx="390">
                  <c:v>North</c:v>
                </c:pt>
                <c:pt idx="391">
                  <c:v>South</c:v>
                </c:pt>
                <c:pt idx="392">
                  <c:v>East</c:v>
                </c:pt>
                <c:pt idx="393">
                  <c:v>West</c:v>
                </c:pt>
                <c:pt idx="394">
                  <c:v>North</c:v>
                </c:pt>
                <c:pt idx="395">
                  <c:v>South</c:v>
                </c:pt>
                <c:pt idx="396">
                  <c:v>East</c:v>
                </c:pt>
                <c:pt idx="397">
                  <c:v>West</c:v>
                </c:pt>
                <c:pt idx="398">
                  <c:v>North</c:v>
                </c:pt>
                <c:pt idx="399">
                  <c:v>South</c:v>
                </c:pt>
                <c:pt idx="400">
                  <c:v>East</c:v>
                </c:pt>
                <c:pt idx="401">
                  <c:v>West</c:v>
                </c:pt>
                <c:pt idx="402">
                  <c:v>North</c:v>
                </c:pt>
                <c:pt idx="403">
                  <c:v>South</c:v>
                </c:pt>
                <c:pt idx="404">
                  <c:v>East</c:v>
                </c:pt>
                <c:pt idx="405">
                  <c:v>West</c:v>
                </c:pt>
                <c:pt idx="406">
                  <c:v>North</c:v>
                </c:pt>
                <c:pt idx="407">
                  <c:v>South</c:v>
                </c:pt>
                <c:pt idx="408">
                  <c:v>East</c:v>
                </c:pt>
                <c:pt idx="409">
                  <c:v>West</c:v>
                </c:pt>
                <c:pt idx="410">
                  <c:v>North</c:v>
                </c:pt>
                <c:pt idx="411">
                  <c:v>South</c:v>
                </c:pt>
                <c:pt idx="412">
                  <c:v>East</c:v>
                </c:pt>
                <c:pt idx="413">
                  <c:v>West</c:v>
                </c:pt>
                <c:pt idx="414">
                  <c:v>North</c:v>
                </c:pt>
                <c:pt idx="415">
                  <c:v>South</c:v>
                </c:pt>
                <c:pt idx="416">
                  <c:v>East</c:v>
                </c:pt>
                <c:pt idx="417">
                  <c:v>West</c:v>
                </c:pt>
                <c:pt idx="418">
                  <c:v>North</c:v>
                </c:pt>
                <c:pt idx="419">
                  <c:v>South</c:v>
                </c:pt>
                <c:pt idx="420">
                  <c:v>East</c:v>
                </c:pt>
                <c:pt idx="421">
                  <c:v>West</c:v>
                </c:pt>
                <c:pt idx="422">
                  <c:v>North</c:v>
                </c:pt>
                <c:pt idx="423">
                  <c:v>South</c:v>
                </c:pt>
                <c:pt idx="424">
                  <c:v>East</c:v>
                </c:pt>
                <c:pt idx="425">
                  <c:v>West</c:v>
                </c:pt>
                <c:pt idx="426">
                  <c:v>North</c:v>
                </c:pt>
                <c:pt idx="427">
                  <c:v>South</c:v>
                </c:pt>
                <c:pt idx="428">
                  <c:v>East</c:v>
                </c:pt>
                <c:pt idx="429">
                  <c:v>West</c:v>
                </c:pt>
                <c:pt idx="430">
                  <c:v>North</c:v>
                </c:pt>
                <c:pt idx="431">
                  <c:v>South</c:v>
                </c:pt>
                <c:pt idx="432">
                  <c:v>East</c:v>
                </c:pt>
                <c:pt idx="433">
                  <c:v>West</c:v>
                </c:pt>
                <c:pt idx="434">
                  <c:v>North</c:v>
                </c:pt>
                <c:pt idx="435">
                  <c:v>South</c:v>
                </c:pt>
                <c:pt idx="436">
                  <c:v>East</c:v>
                </c:pt>
                <c:pt idx="437">
                  <c:v>West</c:v>
                </c:pt>
                <c:pt idx="438">
                  <c:v>North</c:v>
                </c:pt>
                <c:pt idx="439">
                  <c:v>South</c:v>
                </c:pt>
                <c:pt idx="440">
                  <c:v>East</c:v>
                </c:pt>
                <c:pt idx="441">
                  <c:v>West</c:v>
                </c:pt>
                <c:pt idx="442">
                  <c:v>North</c:v>
                </c:pt>
                <c:pt idx="443">
                  <c:v>South</c:v>
                </c:pt>
                <c:pt idx="444">
                  <c:v>East</c:v>
                </c:pt>
                <c:pt idx="445">
                  <c:v>West</c:v>
                </c:pt>
                <c:pt idx="446">
                  <c:v>North</c:v>
                </c:pt>
                <c:pt idx="447">
                  <c:v>South</c:v>
                </c:pt>
                <c:pt idx="448">
                  <c:v>East</c:v>
                </c:pt>
                <c:pt idx="449">
                  <c:v>West</c:v>
                </c:pt>
                <c:pt idx="450">
                  <c:v>North</c:v>
                </c:pt>
                <c:pt idx="451">
                  <c:v>South</c:v>
                </c:pt>
                <c:pt idx="452">
                  <c:v>East</c:v>
                </c:pt>
                <c:pt idx="453">
                  <c:v>West</c:v>
                </c:pt>
                <c:pt idx="454">
                  <c:v>North</c:v>
                </c:pt>
                <c:pt idx="455">
                  <c:v>South</c:v>
                </c:pt>
                <c:pt idx="456">
                  <c:v>East</c:v>
                </c:pt>
                <c:pt idx="457">
                  <c:v>West</c:v>
                </c:pt>
                <c:pt idx="458">
                  <c:v>North</c:v>
                </c:pt>
                <c:pt idx="459">
                  <c:v>South</c:v>
                </c:pt>
                <c:pt idx="460">
                  <c:v>East</c:v>
                </c:pt>
                <c:pt idx="461">
                  <c:v>West</c:v>
                </c:pt>
                <c:pt idx="462">
                  <c:v>North</c:v>
                </c:pt>
                <c:pt idx="463">
                  <c:v>South</c:v>
                </c:pt>
                <c:pt idx="464">
                  <c:v>East</c:v>
                </c:pt>
                <c:pt idx="465">
                  <c:v>West</c:v>
                </c:pt>
                <c:pt idx="466">
                  <c:v>North</c:v>
                </c:pt>
                <c:pt idx="467">
                  <c:v>South</c:v>
                </c:pt>
                <c:pt idx="468">
                  <c:v>East</c:v>
                </c:pt>
                <c:pt idx="469">
                  <c:v>West</c:v>
                </c:pt>
                <c:pt idx="470">
                  <c:v>North</c:v>
                </c:pt>
                <c:pt idx="471">
                  <c:v>South</c:v>
                </c:pt>
                <c:pt idx="472">
                  <c:v>East</c:v>
                </c:pt>
                <c:pt idx="473">
                  <c:v>West</c:v>
                </c:pt>
                <c:pt idx="474">
                  <c:v>North</c:v>
                </c:pt>
                <c:pt idx="475">
                  <c:v>South</c:v>
                </c:pt>
                <c:pt idx="476">
                  <c:v>East</c:v>
                </c:pt>
                <c:pt idx="477">
                  <c:v>West</c:v>
                </c:pt>
                <c:pt idx="478">
                  <c:v>North</c:v>
                </c:pt>
                <c:pt idx="479">
                  <c:v>South</c:v>
                </c:pt>
                <c:pt idx="480">
                  <c:v>East</c:v>
                </c:pt>
                <c:pt idx="481">
                  <c:v>West</c:v>
                </c:pt>
                <c:pt idx="482">
                  <c:v>North</c:v>
                </c:pt>
                <c:pt idx="483">
                  <c:v>South</c:v>
                </c:pt>
                <c:pt idx="484">
                  <c:v>East</c:v>
                </c:pt>
                <c:pt idx="485">
                  <c:v>West</c:v>
                </c:pt>
                <c:pt idx="486">
                  <c:v>North</c:v>
                </c:pt>
                <c:pt idx="487">
                  <c:v>South</c:v>
                </c:pt>
                <c:pt idx="488">
                  <c:v>East</c:v>
                </c:pt>
                <c:pt idx="489">
                  <c:v>West</c:v>
                </c:pt>
                <c:pt idx="490">
                  <c:v>North</c:v>
                </c:pt>
                <c:pt idx="491">
                  <c:v>South</c:v>
                </c:pt>
                <c:pt idx="492">
                  <c:v>East</c:v>
                </c:pt>
                <c:pt idx="493">
                  <c:v>West</c:v>
                </c:pt>
                <c:pt idx="494">
                  <c:v>North</c:v>
                </c:pt>
                <c:pt idx="495">
                  <c:v>South</c:v>
                </c:pt>
                <c:pt idx="496">
                  <c:v>East</c:v>
                </c:pt>
                <c:pt idx="497">
                  <c:v>West</c:v>
                </c:pt>
              </c:strCache>
            </c:strRef>
          </c:cat>
          <c:val>
            <c:numRef>
              <c:f>Sheet5!$D$2:$D$499</c:f>
              <c:numCache>
                <c:formatCode>General</c:formatCode>
                <c:ptCount val="498"/>
                <c:pt idx="0">
                  <c:v>713.49</c:v>
                </c:pt>
                <c:pt idx="1">
                  <c:v>3802.97</c:v>
                </c:pt>
                <c:pt idx="2">
                  <c:v>3588.97</c:v>
                </c:pt>
                <c:pt idx="3">
                  <c:v>1160.8599999999999</c:v>
                </c:pt>
                <c:pt idx="4">
                  <c:v>3071.32</c:v>
                </c:pt>
                <c:pt idx="5">
                  <c:v>2566.1799999999998</c:v>
                </c:pt>
                <c:pt idx="6">
                  <c:v>398</c:v>
                </c:pt>
                <c:pt idx="7">
                  <c:v>1462.95</c:v>
                </c:pt>
                <c:pt idx="8">
                  <c:v>4997.47</c:v>
                </c:pt>
                <c:pt idx="9">
                  <c:v>587.72</c:v>
                </c:pt>
                <c:pt idx="10">
                  <c:v>2581.42</c:v>
                </c:pt>
                <c:pt idx="11">
                  <c:v>4261.74</c:v>
                </c:pt>
                <c:pt idx="12">
                  <c:v>1573.19</c:v>
                </c:pt>
                <c:pt idx="13">
                  <c:v>1377.47</c:v>
                </c:pt>
                <c:pt idx="14">
                  <c:v>4464.8900000000003</c:v>
                </c:pt>
                <c:pt idx="15">
                  <c:v>1593.67</c:v>
                </c:pt>
                <c:pt idx="16">
                  <c:v>3292.32</c:v>
                </c:pt>
                <c:pt idx="17">
                  <c:v>3727.53</c:v>
                </c:pt>
                <c:pt idx="18">
                  <c:v>3964.23</c:v>
                </c:pt>
                <c:pt idx="19">
                  <c:v>4974.32</c:v>
                </c:pt>
                <c:pt idx="20">
                  <c:v>4035.64</c:v>
                </c:pt>
                <c:pt idx="21">
                  <c:v>3319.36</c:v>
                </c:pt>
                <c:pt idx="22">
                  <c:v>4487.7700000000004</c:v>
                </c:pt>
                <c:pt idx="23">
                  <c:v>4538.1499999999996</c:v>
                </c:pt>
                <c:pt idx="24">
                  <c:v>4868.5200000000004</c:v>
                </c:pt>
                <c:pt idx="25">
                  <c:v>3904.68</c:v>
                </c:pt>
                <c:pt idx="26">
                  <c:v>1055.1400000000001</c:v>
                </c:pt>
                <c:pt idx="27">
                  <c:v>3578.05</c:v>
                </c:pt>
                <c:pt idx="28">
                  <c:v>468.13</c:v>
                </c:pt>
                <c:pt idx="29">
                  <c:v>1658.02</c:v>
                </c:pt>
                <c:pt idx="30">
                  <c:v>667.46</c:v>
                </c:pt>
                <c:pt idx="31">
                  <c:v>4754.72</c:v>
                </c:pt>
                <c:pt idx="32">
                  <c:v>1759.9</c:v>
                </c:pt>
                <c:pt idx="33">
                  <c:v>3594.76</c:v>
                </c:pt>
                <c:pt idx="34">
                  <c:v>2899.46</c:v>
                </c:pt>
                <c:pt idx="35">
                  <c:v>626.80999999999995</c:v>
                </c:pt>
                <c:pt idx="36">
                  <c:v>2850.59</c:v>
                </c:pt>
                <c:pt idx="37">
                  <c:v>3339.02</c:v>
                </c:pt>
                <c:pt idx="38">
                  <c:v>4419.43</c:v>
                </c:pt>
                <c:pt idx="39">
                  <c:v>443.42</c:v>
                </c:pt>
                <c:pt idx="40">
                  <c:v>1548.61</c:v>
                </c:pt>
                <c:pt idx="41">
                  <c:v>3492.47</c:v>
                </c:pt>
                <c:pt idx="42">
                  <c:v>268.23</c:v>
                </c:pt>
                <c:pt idx="43">
                  <c:v>1097.4100000000001</c:v>
                </c:pt>
                <c:pt idx="44">
                  <c:v>1171.48</c:v>
                </c:pt>
                <c:pt idx="45">
                  <c:v>3379.7</c:v>
                </c:pt>
                <c:pt idx="46">
                  <c:v>1501.21</c:v>
                </c:pt>
                <c:pt idx="47">
                  <c:v>3038.02</c:v>
                </c:pt>
                <c:pt idx="48">
                  <c:v>4830.21</c:v>
                </c:pt>
                <c:pt idx="49">
                  <c:v>3986.89</c:v>
                </c:pt>
                <c:pt idx="50">
                  <c:v>1731.22</c:v>
                </c:pt>
                <c:pt idx="51">
                  <c:v>2414.7600000000002</c:v>
                </c:pt>
                <c:pt idx="52">
                  <c:v>1083.3</c:v>
                </c:pt>
                <c:pt idx="53">
                  <c:v>177.03</c:v>
                </c:pt>
                <c:pt idx="54">
                  <c:v>1519.61</c:v>
                </c:pt>
                <c:pt idx="55">
                  <c:v>1910.1</c:v>
                </c:pt>
                <c:pt idx="56">
                  <c:v>2865.4</c:v>
                </c:pt>
                <c:pt idx="57">
                  <c:v>4725.93</c:v>
                </c:pt>
                <c:pt idx="58">
                  <c:v>4744.4799999999996</c:v>
                </c:pt>
                <c:pt idx="59">
                  <c:v>443.48</c:v>
                </c:pt>
                <c:pt idx="60">
                  <c:v>3111.76</c:v>
                </c:pt>
                <c:pt idx="61">
                  <c:v>307.52999999999997</c:v>
                </c:pt>
                <c:pt idx="62">
                  <c:v>3275.6</c:v>
                </c:pt>
                <c:pt idx="63">
                  <c:v>676.75</c:v>
                </c:pt>
                <c:pt idx="64">
                  <c:v>4737.37</c:v>
                </c:pt>
                <c:pt idx="65">
                  <c:v>4335.26</c:v>
                </c:pt>
                <c:pt idx="66">
                  <c:v>209.41</c:v>
                </c:pt>
                <c:pt idx="67">
                  <c:v>3932.45</c:v>
                </c:pt>
                <c:pt idx="68">
                  <c:v>3215.9</c:v>
                </c:pt>
                <c:pt idx="69">
                  <c:v>2527.31</c:v>
                </c:pt>
                <c:pt idx="70">
                  <c:v>3052.91</c:v>
                </c:pt>
                <c:pt idx="71">
                  <c:v>3423.43</c:v>
                </c:pt>
                <c:pt idx="72">
                  <c:v>4433.84</c:v>
                </c:pt>
                <c:pt idx="73">
                  <c:v>3860.05</c:v>
                </c:pt>
                <c:pt idx="74">
                  <c:v>2919.35</c:v>
                </c:pt>
                <c:pt idx="75">
                  <c:v>4140.62</c:v>
                </c:pt>
                <c:pt idx="76">
                  <c:v>4935.92</c:v>
                </c:pt>
                <c:pt idx="77">
                  <c:v>1570.89</c:v>
                </c:pt>
                <c:pt idx="78">
                  <c:v>680.26</c:v>
                </c:pt>
                <c:pt idx="79">
                  <c:v>3684.1</c:v>
                </c:pt>
                <c:pt idx="80">
                  <c:v>4895.12</c:v>
                </c:pt>
                <c:pt idx="81">
                  <c:v>671.86</c:v>
                </c:pt>
                <c:pt idx="82">
                  <c:v>2215.37</c:v>
                </c:pt>
                <c:pt idx="83">
                  <c:v>405.11</c:v>
                </c:pt>
                <c:pt idx="84">
                  <c:v>3905.01</c:v>
                </c:pt>
                <c:pt idx="85">
                  <c:v>4748.67</c:v>
                </c:pt>
                <c:pt idx="86">
                  <c:v>2545.0700000000002</c:v>
                </c:pt>
                <c:pt idx="87">
                  <c:v>2106.65</c:v>
                </c:pt>
                <c:pt idx="88">
                  <c:v>4547.82</c:v>
                </c:pt>
                <c:pt idx="89">
                  <c:v>753.6</c:v>
                </c:pt>
                <c:pt idx="90">
                  <c:v>4468.76</c:v>
                </c:pt>
                <c:pt idx="91">
                  <c:v>2021.42</c:v>
                </c:pt>
                <c:pt idx="92">
                  <c:v>2841.09</c:v>
                </c:pt>
                <c:pt idx="93">
                  <c:v>2688.63</c:v>
                </c:pt>
                <c:pt idx="94">
                  <c:v>3118.3</c:v>
                </c:pt>
                <c:pt idx="95">
                  <c:v>4716.3999999999996</c:v>
                </c:pt>
                <c:pt idx="96">
                  <c:v>4760.5200000000004</c:v>
                </c:pt>
                <c:pt idx="97">
                  <c:v>4172.63</c:v>
                </c:pt>
                <c:pt idx="98">
                  <c:v>1038.57</c:v>
                </c:pt>
                <c:pt idx="99">
                  <c:v>1734.23</c:v>
                </c:pt>
                <c:pt idx="100">
                  <c:v>2490.34</c:v>
                </c:pt>
                <c:pt idx="101">
                  <c:v>4536.76</c:v>
                </c:pt>
                <c:pt idx="102">
                  <c:v>2652.24</c:v>
                </c:pt>
                <c:pt idx="103">
                  <c:v>4889.43</c:v>
                </c:pt>
                <c:pt idx="104">
                  <c:v>4920.82</c:v>
                </c:pt>
                <c:pt idx="105">
                  <c:v>3033.06</c:v>
                </c:pt>
                <c:pt idx="106">
                  <c:v>4399.7299999999996</c:v>
                </c:pt>
                <c:pt idx="107">
                  <c:v>4996.1899999999996</c:v>
                </c:pt>
                <c:pt idx="108">
                  <c:v>4263.6099999999997</c:v>
                </c:pt>
                <c:pt idx="109">
                  <c:v>3318.86</c:v>
                </c:pt>
                <c:pt idx="110">
                  <c:v>4241.1499999999996</c:v>
                </c:pt>
                <c:pt idx="111">
                  <c:v>505.01</c:v>
                </c:pt>
                <c:pt idx="112">
                  <c:v>3210.62</c:v>
                </c:pt>
                <c:pt idx="113">
                  <c:v>1160.96</c:v>
                </c:pt>
                <c:pt idx="114">
                  <c:v>668.71</c:v>
                </c:pt>
                <c:pt idx="115">
                  <c:v>4475.07</c:v>
                </c:pt>
                <c:pt idx="116">
                  <c:v>3234.26</c:v>
                </c:pt>
                <c:pt idx="117">
                  <c:v>1293.3800000000001</c:v>
                </c:pt>
                <c:pt idx="118">
                  <c:v>1995.23</c:v>
                </c:pt>
                <c:pt idx="119">
                  <c:v>4869.0600000000004</c:v>
                </c:pt>
                <c:pt idx="120">
                  <c:v>4324.6899999999996</c:v>
                </c:pt>
                <c:pt idx="121">
                  <c:v>176.35</c:v>
                </c:pt>
                <c:pt idx="122">
                  <c:v>4901.0200000000004</c:v>
                </c:pt>
                <c:pt idx="123">
                  <c:v>1905.79</c:v>
                </c:pt>
                <c:pt idx="124">
                  <c:v>3507.55</c:v>
                </c:pt>
                <c:pt idx="125">
                  <c:v>3592.12</c:v>
                </c:pt>
                <c:pt idx="126">
                  <c:v>4567.25</c:v>
                </c:pt>
                <c:pt idx="127">
                  <c:v>4436.8</c:v>
                </c:pt>
                <c:pt idx="128">
                  <c:v>1480.47</c:v>
                </c:pt>
                <c:pt idx="129">
                  <c:v>3253.32</c:v>
                </c:pt>
                <c:pt idx="130">
                  <c:v>2029.16</c:v>
                </c:pt>
                <c:pt idx="131">
                  <c:v>2675.16</c:v>
                </c:pt>
                <c:pt idx="132">
                  <c:v>2817.92</c:v>
                </c:pt>
                <c:pt idx="133">
                  <c:v>2042.08</c:v>
                </c:pt>
                <c:pt idx="134">
                  <c:v>2373.08</c:v>
                </c:pt>
                <c:pt idx="135">
                  <c:v>1120.8800000000001</c:v>
                </c:pt>
                <c:pt idx="136">
                  <c:v>3077.47</c:v>
                </c:pt>
                <c:pt idx="137">
                  <c:v>3818.9</c:v>
                </c:pt>
                <c:pt idx="138">
                  <c:v>2205.73</c:v>
                </c:pt>
                <c:pt idx="139">
                  <c:v>4890.63</c:v>
                </c:pt>
                <c:pt idx="140">
                  <c:v>380.41</c:v>
                </c:pt>
                <c:pt idx="141">
                  <c:v>2986.89</c:v>
                </c:pt>
                <c:pt idx="142">
                  <c:v>2959.64</c:v>
                </c:pt>
                <c:pt idx="143">
                  <c:v>277.85000000000002</c:v>
                </c:pt>
                <c:pt idx="144">
                  <c:v>1200.3900000000001</c:v>
                </c:pt>
                <c:pt idx="145">
                  <c:v>4537.16</c:v>
                </c:pt>
                <c:pt idx="146">
                  <c:v>2768.12</c:v>
                </c:pt>
                <c:pt idx="147">
                  <c:v>2238.29</c:v>
                </c:pt>
                <c:pt idx="148">
                  <c:v>2135.9299999999998</c:v>
                </c:pt>
                <c:pt idx="149">
                  <c:v>4451.99</c:v>
                </c:pt>
                <c:pt idx="150">
                  <c:v>1898.45</c:v>
                </c:pt>
                <c:pt idx="151">
                  <c:v>4309.92</c:v>
                </c:pt>
                <c:pt idx="152">
                  <c:v>1615.04</c:v>
                </c:pt>
                <c:pt idx="153">
                  <c:v>2704.37</c:v>
                </c:pt>
                <c:pt idx="154">
                  <c:v>804.72</c:v>
                </c:pt>
                <c:pt idx="155">
                  <c:v>4142.6499999999996</c:v>
                </c:pt>
                <c:pt idx="156">
                  <c:v>3706.28</c:v>
                </c:pt>
                <c:pt idx="157">
                  <c:v>2697.46</c:v>
                </c:pt>
                <c:pt idx="158">
                  <c:v>226.92</c:v>
                </c:pt>
                <c:pt idx="159">
                  <c:v>2458.16</c:v>
                </c:pt>
                <c:pt idx="160">
                  <c:v>1203.46</c:v>
                </c:pt>
                <c:pt idx="161">
                  <c:v>2125.5300000000002</c:v>
                </c:pt>
                <c:pt idx="162">
                  <c:v>4296.49</c:v>
                </c:pt>
                <c:pt idx="163">
                  <c:v>3871.06</c:v>
                </c:pt>
                <c:pt idx="164">
                  <c:v>1285.57</c:v>
                </c:pt>
                <c:pt idx="165">
                  <c:v>4926.2700000000004</c:v>
                </c:pt>
                <c:pt idx="166">
                  <c:v>4525.7299999999996</c:v>
                </c:pt>
                <c:pt idx="167">
                  <c:v>2690.5</c:v>
                </c:pt>
                <c:pt idx="168">
                  <c:v>2697.74</c:v>
                </c:pt>
                <c:pt idx="169">
                  <c:v>4516.2</c:v>
                </c:pt>
                <c:pt idx="170">
                  <c:v>3217.11</c:v>
                </c:pt>
                <c:pt idx="171">
                  <c:v>2729.77</c:v>
                </c:pt>
                <c:pt idx="172">
                  <c:v>3770.83</c:v>
                </c:pt>
                <c:pt idx="173">
                  <c:v>1251.98</c:v>
                </c:pt>
                <c:pt idx="174">
                  <c:v>4404.05</c:v>
                </c:pt>
                <c:pt idx="175">
                  <c:v>2703.93</c:v>
                </c:pt>
                <c:pt idx="176">
                  <c:v>3057.15</c:v>
                </c:pt>
                <c:pt idx="177">
                  <c:v>540.72</c:v>
                </c:pt>
                <c:pt idx="178">
                  <c:v>1616.59</c:v>
                </c:pt>
                <c:pt idx="179">
                  <c:v>2191</c:v>
                </c:pt>
                <c:pt idx="180">
                  <c:v>2128.16</c:v>
                </c:pt>
                <c:pt idx="181">
                  <c:v>3913.59</c:v>
                </c:pt>
                <c:pt idx="182">
                  <c:v>1483.38</c:v>
                </c:pt>
                <c:pt idx="183">
                  <c:v>992.34</c:v>
                </c:pt>
                <c:pt idx="184">
                  <c:v>2954.82</c:v>
                </c:pt>
                <c:pt idx="185">
                  <c:v>3113.57</c:v>
                </c:pt>
                <c:pt idx="186">
                  <c:v>695.76</c:v>
                </c:pt>
                <c:pt idx="187">
                  <c:v>112.1</c:v>
                </c:pt>
                <c:pt idx="188">
                  <c:v>4596.4799999999996</c:v>
                </c:pt>
                <c:pt idx="189">
                  <c:v>490.22</c:v>
                </c:pt>
                <c:pt idx="190">
                  <c:v>4499.55</c:v>
                </c:pt>
                <c:pt idx="191">
                  <c:v>2056.15</c:v>
                </c:pt>
                <c:pt idx="192">
                  <c:v>3299.97</c:v>
                </c:pt>
                <c:pt idx="193">
                  <c:v>1009.51</c:v>
                </c:pt>
                <c:pt idx="194">
                  <c:v>4137.1899999999996</c:v>
                </c:pt>
                <c:pt idx="195">
                  <c:v>982.95</c:v>
                </c:pt>
                <c:pt idx="196">
                  <c:v>1993.89</c:v>
                </c:pt>
                <c:pt idx="197">
                  <c:v>1266.33</c:v>
                </c:pt>
                <c:pt idx="198">
                  <c:v>4203.78</c:v>
                </c:pt>
                <c:pt idx="199">
                  <c:v>4305.8500000000004</c:v>
                </c:pt>
                <c:pt idx="200">
                  <c:v>1922.94</c:v>
                </c:pt>
                <c:pt idx="201">
                  <c:v>1606.15</c:v>
                </c:pt>
                <c:pt idx="202">
                  <c:v>3890.47</c:v>
                </c:pt>
                <c:pt idx="203">
                  <c:v>4404.71</c:v>
                </c:pt>
                <c:pt idx="204">
                  <c:v>3157.7</c:v>
                </c:pt>
                <c:pt idx="205">
                  <c:v>4644.28</c:v>
                </c:pt>
                <c:pt idx="206">
                  <c:v>1976.91</c:v>
                </c:pt>
                <c:pt idx="207">
                  <c:v>844.24</c:v>
                </c:pt>
                <c:pt idx="208">
                  <c:v>980.25</c:v>
                </c:pt>
                <c:pt idx="209">
                  <c:v>3382.18</c:v>
                </c:pt>
                <c:pt idx="210">
                  <c:v>2096.88</c:v>
                </c:pt>
                <c:pt idx="211">
                  <c:v>865.94</c:v>
                </c:pt>
                <c:pt idx="212">
                  <c:v>1531.91</c:v>
                </c:pt>
                <c:pt idx="213">
                  <c:v>2699.96</c:v>
                </c:pt>
                <c:pt idx="214">
                  <c:v>695.08</c:v>
                </c:pt>
                <c:pt idx="215">
                  <c:v>116.87</c:v>
                </c:pt>
                <c:pt idx="216">
                  <c:v>4594.76</c:v>
                </c:pt>
                <c:pt idx="217">
                  <c:v>1593.82</c:v>
                </c:pt>
                <c:pt idx="218">
                  <c:v>1185.3399999999999</c:v>
                </c:pt>
                <c:pt idx="219">
                  <c:v>3522.56</c:v>
                </c:pt>
                <c:pt idx="220">
                  <c:v>4281.67</c:v>
                </c:pt>
                <c:pt idx="221">
                  <c:v>3198.17</c:v>
                </c:pt>
                <c:pt idx="222">
                  <c:v>1346.97</c:v>
                </c:pt>
                <c:pt idx="223">
                  <c:v>4322.0200000000004</c:v>
                </c:pt>
                <c:pt idx="224">
                  <c:v>2601.09</c:v>
                </c:pt>
                <c:pt idx="225">
                  <c:v>1967.83</c:v>
                </c:pt>
                <c:pt idx="226">
                  <c:v>3063.16</c:v>
                </c:pt>
                <c:pt idx="227">
                  <c:v>3533</c:v>
                </c:pt>
                <c:pt idx="228">
                  <c:v>3009.77</c:v>
                </c:pt>
                <c:pt idx="229">
                  <c:v>4609.2</c:v>
                </c:pt>
                <c:pt idx="230">
                  <c:v>3177.29</c:v>
                </c:pt>
                <c:pt idx="231">
                  <c:v>4405.05</c:v>
                </c:pt>
                <c:pt idx="232">
                  <c:v>2976.1</c:v>
                </c:pt>
                <c:pt idx="233">
                  <c:v>1715.43</c:v>
                </c:pt>
                <c:pt idx="234">
                  <c:v>2708.25</c:v>
                </c:pt>
                <c:pt idx="235">
                  <c:v>523.04999999999995</c:v>
                </c:pt>
                <c:pt idx="236">
                  <c:v>1227.8599999999999</c:v>
                </c:pt>
                <c:pt idx="237">
                  <c:v>3854.54</c:v>
                </c:pt>
                <c:pt idx="238">
                  <c:v>3341.23</c:v>
                </c:pt>
                <c:pt idx="239">
                  <c:v>915.94</c:v>
                </c:pt>
                <c:pt idx="240">
                  <c:v>2246.27</c:v>
                </c:pt>
                <c:pt idx="241">
                  <c:v>795.76</c:v>
                </c:pt>
                <c:pt idx="242">
                  <c:v>4293.51</c:v>
                </c:pt>
                <c:pt idx="243">
                  <c:v>634.92999999999995</c:v>
                </c:pt>
                <c:pt idx="244">
                  <c:v>3305.75</c:v>
                </c:pt>
                <c:pt idx="245">
                  <c:v>3074.3</c:v>
                </c:pt>
                <c:pt idx="246">
                  <c:v>2416.61</c:v>
                </c:pt>
                <c:pt idx="247">
                  <c:v>1463.35</c:v>
                </c:pt>
                <c:pt idx="248">
                  <c:v>2079.39</c:v>
                </c:pt>
                <c:pt idx="249">
                  <c:v>4051.32</c:v>
                </c:pt>
                <c:pt idx="250">
                  <c:v>3831.6</c:v>
                </c:pt>
                <c:pt idx="251">
                  <c:v>3720.16</c:v>
                </c:pt>
                <c:pt idx="252">
                  <c:v>3774.14</c:v>
                </c:pt>
                <c:pt idx="253">
                  <c:v>805.04</c:v>
                </c:pt>
                <c:pt idx="254">
                  <c:v>585.57000000000005</c:v>
                </c:pt>
                <c:pt idx="255">
                  <c:v>4321.34</c:v>
                </c:pt>
                <c:pt idx="256">
                  <c:v>4202.16</c:v>
                </c:pt>
                <c:pt idx="257">
                  <c:v>3438.46</c:v>
                </c:pt>
                <c:pt idx="258">
                  <c:v>3068.94</c:v>
                </c:pt>
                <c:pt idx="259">
                  <c:v>1897.67</c:v>
                </c:pt>
                <c:pt idx="260">
                  <c:v>1198</c:v>
                </c:pt>
                <c:pt idx="261">
                  <c:v>3371.52</c:v>
                </c:pt>
                <c:pt idx="262">
                  <c:v>4573.87</c:v>
                </c:pt>
                <c:pt idx="263">
                  <c:v>2241.2800000000002</c:v>
                </c:pt>
                <c:pt idx="264">
                  <c:v>1585.74</c:v>
                </c:pt>
                <c:pt idx="265">
                  <c:v>1426.63</c:v>
                </c:pt>
                <c:pt idx="266">
                  <c:v>216.16</c:v>
                </c:pt>
                <c:pt idx="267">
                  <c:v>2649.55</c:v>
                </c:pt>
                <c:pt idx="268">
                  <c:v>4942.3599999999997</c:v>
                </c:pt>
                <c:pt idx="269">
                  <c:v>4094.66</c:v>
                </c:pt>
                <c:pt idx="270">
                  <c:v>4497.63</c:v>
                </c:pt>
                <c:pt idx="271">
                  <c:v>3143.7</c:v>
                </c:pt>
                <c:pt idx="272">
                  <c:v>2459.09</c:v>
                </c:pt>
                <c:pt idx="273">
                  <c:v>4953.24</c:v>
                </c:pt>
                <c:pt idx="274">
                  <c:v>2291.09</c:v>
                </c:pt>
                <c:pt idx="275">
                  <c:v>4592.47</c:v>
                </c:pt>
                <c:pt idx="276">
                  <c:v>3833.04</c:v>
                </c:pt>
                <c:pt idx="277">
                  <c:v>1721.79</c:v>
                </c:pt>
                <c:pt idx="278">
                  <c:v>2565</c:v>
                </c:pt>
                <c:pt idx="279">
                  <c:v>1983.21</c:v>
                </c:pt>
                <c:pt idx="280">
                  <c:v>767.49</c:v>
                </c:pt>
                <c:pt idx="281">
                  <c:v>1848.16</c:v>
                </c:pt>
                <c:pt idx="282">
                  <c:v>4455.97</c:v>
                </c:pt>
                <c:pt idx="283">
                  <c:v>3787.91</c:v>
                </c:pt>
                <c:pt idx="284">
                  <c:v>1460.15</c:v>
                </c:pt>
                <c:pt idx="285">
                  <c:v>1902.78</c:v>
                </c:pt>
                <c:pt idx="286">
                  <c:v>3120.53</c:v>
                </c:pt>
                <c:pt idx="287">
                  <c:v>2139.09</c:v>
                </c:pt>
                <c:pt idx="288">
                  <c:v>2564.92</c:v>
                </c:pt>
                <c:pt idx="289">
                  <c:v>3521.03</c:v>
                </c:pt>
                <c:pt idx="290">
                  <c:v>2389.5300000000002</c:v>
                </c:pt>
                <c:pt idx="291">
                  <c:v>1035.75</c:v>
                </c:pt>
                <c:pt idx="292">
                  <c:v>2650.81</c:v>
                </c:pt>
                <c:pt idx="293">
                  <c:v>1844.98</c:v>
                </c:pt>
                <c:pt idx="294">
                  <c:v>1524.6</c:v>
                </c:pt>
                <c:pt idx="295">
                  <c:v>1707.73</c:v>
                </c:pt>
                <c:pt idx="296">
                  <c:v>2251.11</c:v>
                </c:pt>
                <c:pt idx="297">
                  <c:v>4444.3999999999996</c:v>
                </c:pt>
                <c:pt idx="298">
                  <c:v>3696.88</c:v>
                </c:pt>
                <c:pt idx="299">
                  <c:v>3372.62</c:v>
                </c:pt>
                <c:pt idx="300">
                  <c:v>2409.1799999999998</c:v>
                </c:pt>
                <c:pt idx="301">
                  <c:v>108.97</c:v>
                </c:pt>
                <c:pt idx="302">
                  <c:v>1768.7</c:v>
                </c:pt>
                <c:pt idx="303">
                  <c:v>4084.64</c:v>
                </c:pt>
                <c:pt idx="304">
                  <c:v>2002.04</c:v>
                </c:pt>
                <c:pt idx="305">
                  <c:v>2862.71</c:v>
                </c:pt>
                <c:pt idx="306">
                  <c:v>1103.23</c:v>
                </c:pt>
                <c:pt idx="307">
                  <c:v>4587.7</c:v>
                </c:pt>
                <c:pt idx="308">
                  <c:v>4623.54</c:v>
                </c:pt>
                <c:pt idx="309">
                  <c:v>815.74</c:v>
                </c:pt>
                <c:pt idx="310">
                  <c:v>3648.38</c:v>
                </c:pt>
                <c:pt idx="311">
                  <c:v>468.67</c:v>
                </c:pt>
                <c:pt idx="312">
                  <c:v>3032.88</c:v>
                </c:pt>
                <c:pt idx="313">
                  <c:v>975.4</c:v>
                </c:pt>
                <c:pt idx="314">
                  <c:v>813.96</c:v>
                </c:pt>
                <c:pt idx="315">
                  <c:v>120.19</c:v>
                </c:pt>
                <c:pt idx="316">
                  <c:v>4710.2</c:v>
                </c:pt>
                <c:pt idx="317">
                  <c:v>4163.34</c:v>
                </c:pt>
                <c:pt idx="318">
                  <c:v>479.63</c:v>
                </c:pt>
                <c:pt idx="319">
                  <c:v>3036.94</c:v>
                </c:pt>
                <c:pt idx="320">
                  <c:v>1241.2</c:v>
                </c:pt>
                <c:pt idx="321">
                  <c:v>1393.68</c:v>
                </c:pt>
                <c:pt idx="322">
                  <c:v>4383.43</c:v>
                </c:pt>
                <c:pt idx="323">
                  <c:v>660.2</c:v>
                </c:pt>
                <c:pt idx="324">
                  <c:v>3047.3</c:v>
                </c:pt>
                <c:pt idx="325">
                  <c:v>2066.15</c:v>
                </c:pt>
                <c:pt idx="326">
                  <c:v>1034.92</c:v>
                </c:pt>
                <c:pt idx="327">
                  <c:v>2314.4</c:v>
                </c:pt>
                <c:pt idx="328">
                  <c:v>4708.3999999999996</c:v>
                </c:pt>
                <c:pt idx="329">
                  <c:v>3929.89</c:v>
                </c:pt>
                <c:pt idx="330">
                  <c:v>747.35</c:v>
                </c:pt>
                <c:pt idx="331">
                  <c:v>4262.21</c:v>
                </c:pt>
                <c:pt idx="332">
                  <c:v>4693.46</c:v>
                </c:pt>
                <c:pt idx="333">
                  <c:v>1457.12</c:v>
                </c:pt>
                <c:pt idx="334">
                  <c:v>1733.76</c:v>
                </c:pt>
                <c:pt idx="335">
                  <c:v>718.92</c:v>
                </c:pt>
                <c:pt idx="336">
                  <c:v>1790.21</c:v>
                </c:pt>
                <c:pt idx="337">
                  <c:v>3398.39</c:v>
                </c:pt>
                <c:pt idx="338">
                  <c:v>1433.56</c:v>
                </c:pt>
                <c:pt idx="339">
                  <c:v>133.44</c:v>
                </c:pt>
                <c:pt idx="340">
                  <c:v>1758.87</c:v>
                </c:pt>
                <c:pt idx="341">
                  <c:v>2320.5500000000002</c:v>
                </c:pt>
                <c:pt idx="342">
                  <c:v>2875.14</c:v>
                </c:pt>
                <c:pt idx="343">
                  <c:v>3450.74</c:v>
                </c:pt>
                <c:pt idx="344">
                  <c:v>402.74</c:v>
                </c:pt>
                <c:pt idx="345">
                  <c:v>2401.7800000000002</c:v>
                </c:pt>
                <c:pt idx="346">
                  <c:v>1405.18</c:v>
                </c:pt>
                <c:pt idx="347">
                  <c:v>4745.05</c:v>
                </c:pt>
                <c:pt idx="348">
                  <c:v>1863.5</c:v>
                </c:pt>
                <c:pt idx="349">
                  <c:v>590.61</c:v>
                </c:pt>
                <c:pt idx="350">
                  <c:v>303.31</c:v>
                </c:pt>
                <c:pt idx="351">
                  <c:v>1400.49</c:v>
                </c:pt>
                <c:pt idx="352">
                  <c:v>976.51</c:v>
                </c:pt>
                <c:pt idx="353">
                  <c:v>3284.02</c:v>
                </c:pt>
                <c:pt idx="354">
                  <c:v>4250.1400000000003</c:v>
                </c:pt>
                <c:pt idx="355">
                  <c:v>1631.54</c:v>
                </c:pt>
                <c:pt idx="356">
                  <c:v>2931.18</c:v>
                </c:pt>
                <c:pt idx="357">
                  <c:v>3678.5</c:v>
                </c:pt>
                <c:pt idx="358">
                  <c:v>2052.59</c:v>
                </c:pt>
                <c:pt idx="359">
                  <c:v>425</c:v>
                </c:pt>
                <c:pt idx="360">
                  <c:v>1223.01</c:v>
                </c:pt>
                <c:pt idx="361">
                  <c:v>4427.0200000000004</c:v>
                </c:pt>
                <c:pt idx="362">
                  <c:v>4139.95</c:v>
                </c:pt>
                <c:pt idx="363">
                  <c:v>524.01</c:v>
                </c:pt>
                <c:pt idx="364">
                  <c:v>1197.3499999999999</c:v>
                </c:pt>
                <c:pt idx="365">
                  <c:v>3868.91</c:v>
                </c:pt>
                <c:pt idx="366">
                  <c:v>2480.9</c:v>
                </c:pt>
                <c:pt idx="367">
                  <c:v>3823.84</c:v>
                </c:pt>
                <c:pt idx="368">
                  <c:v>1134.3499999999999</c:v>
                </c:pt>
                <c:pt idx="369">
                  <c:v>4768.22</c:v>
                </c:pt>
                <c:pt idx="370">
                  <c:v>3939.68</c:v>
                </c:pt>
                <c:pt idx="371">
                  <c:v>1067.52</c:v>
                </c:pt>
                <c:pt idx="372">
                  <c:v>2836.4</c:v>
                </c:pt>
                <c:pt idx="373">
                  <c:v>654.17999999999995</c:v>
                </c:pt>
                <c:pt idx="374">
                  <c:v>1871.03</c:v>
                </c:pt>
                <c:pt idx="375">
                  <c:v>3332.14</c:v>
                </c:pt>
                <c:pt idx="376">
                  <c:v>1717.63</c:v>
                </c:pt>
                <c:pt idx="377">
                  <c:v>3318.12</c:v>
                </c:pt>
                <c:pt idx="378">
                  <c:v>1299.42</c:v>
                </c:pt>
                <c:pt idx="379">
                  <c:v>3633.91</c:v>
                </c:pt>
                <c:pt idx="380">
                  <c:v>1861.99</c:v>
                </c:pt>
                <c:pt idx="381">
                  <c:v>3973.36</c:v>
                </c:pt>
                <c:pt idx="382">
                  <c:v>769.78</c:v>
                </c:pt>
                <c:pt idx="383">
                  <c:v>1873.69</c:v>
                </c:pt>
                <c:pt idx="384">
                  <c:v>2373.27</c:v>
                </c:pt>
                <c:pt idx="385">
                  <c:v>2176.84</c:v>
                </c:pt>
                <c:pt idx="386">
                  <c:v>2222.16</c:v>
                </c:pt>
                <c:pt idx="387">
                  <c:v>2279.54</c:v>
                </c:pt>
                <c:pt idx="388">
                  <c:v>4945.1400000000003</c:v>
                </c:pt>
                <c:pt idx="389">
                  <c:v>1046.47</c:v>
                </c:pt>
                <c:pt idx="390">
                  <c:v>3866.45</c:v>
                </c:pt>
                <c:pt idx="391">
                  <c:v>2803.77</c:v>
                </c:pt>
                <c:pt idx="392">
                  <c:v>2126.7800000000002</c:v>
                </c:pt>
                <c:pt idx="393">
                  <c:v>3204.29</c:v>
                </c:pt>
                <c:pt idx="394">
                  <c:v>4282.3</c:v>
                </c:pt>
                <c:pt idx="395">
                  <c:v>2386.5300000000002</c:v>
                </c:pt>
                <c:pt idx="396">
                  <c:v>4337.53</c:v>
                </c:pt>
                <c:pt idx="397">
                  <c:v>559.61</c:v>
                </c:pt>
                <c:pt idx="398">
                  <c:v>3300.11</c:v>
                </c:pt>
                <c:pt idx="399">
                  <c:v>1732.58</c:v>
                </c:pt>
                <c:pt idx="400">
                  <c:v>1994.91</c:v>
                </c:pt>
                <c:pt idx="401">
                  <c:v>2898</c:v>
                </c:pt>
                <c:pt idx="402">
                  <c:v>2451.59</c:v>
                </c:pt>
                <c:pt idx="403">
                  <c:v>1970.72</c:v>
                </c:pt>
                <c:pt idx="404">
                  <c:v>1610.78</c:v>
                </c:pt>
                <c:pt idx="405">
                  <c:v>3129.74</c:v>
                </c:pt>
                <c:pt idx="406">
                  <c:v>2577.34</c:v>
                </c:pt>
                <c:pt idx="407">
                  <c:v>1684.21</c:v>
                </c:pt>
                <c:pt idx="408">
                  <c:v>1104.31</c:v>
                </c:pt>
                <c:pt idx="409">
                  <c:v>3894.89</c:v>
                </c:pt>
                <c:pt idx="410">
                  <c:v>4018.6</c:v>
                </c:pt>
                <c:pt idx="411">
                  <c:v>1147.56</c:v>
                </c:pt>
                <c:pt idx="412">
                  <c:v>1382.08</c:v>
                </c:pt>
                <c:pt idx="413">
                  <c:v>1271.8</c:v>
                </c:pt>
                <c:pt idx="414">
                  <c:v>4434.3900000000003</c:v>
                </c:pt>
                <c:pt idx="415">
                  <c:v>3893.24</c:v>
                </c:pt>
                <c:pt idx="416">
                  <c:v>465.41</c:v>
                </c:pt>
                <c:pt idx="417">
                  <c:v>4180.0600000000004</c:v>
                </c:pt>
                <c:pt idx="418">
                  <c:v>280.57</c:v>
                </c:pt>
                <c:pt idx="419">
                  <c:v>1340.68</c:v>
                </c:pt>
                <c:pt idx="420">
                  <c:v>4603.0600000000004</c:v>
                </c:pt>
                <c:pt idx="421">
                  <c:v>4335.22</c:v>
                </c:pt>
                <c:pt idx="422">
                  <c:v>3929.03</c:v>
                </c:pt>
                <c:pt idx="423">
                  <c:v>2341.98</c:v>
                </c:pt>
                <c:pt idx="424">
                  <c:v>1674.93</c:v>
                </c:pt>
                <c:pt idx="425">
                  <c:v>4419.57</c:v>
                </c:pt>
                <c:pt idx="426">
                  <c:v>3319.66</c:v>
                </c:pt>
                <c:pt idx="427">
                  <c:v>1547.99</c:v>
                </c:pt>
                <c:pt idx="428">
                  <c:v>2369.66</c:v>
                </c:pt>
                <c:pt idx="429">
                  <c:v>4419.3500000000004</c:v>
                </c:pt>
                <c:pt idx="430">
                  <c:v>4526.93</c:v>
                </c:pt>
                <c:pt idx="431">
                  <c:v>3330.58</c:v>
                </c:pt>
                <c:pt idx="432">
                  <c:v>3689.52</c:v>
                </c:pt>
                <c:pt idx="433">
                  <c:v>292.56</c:v>
                </c:pt>
                <c:pt idx="434">
                  <c:v>3062.54</c:v>
                </c:pt>
                <c:pt idx="435">
                  <c:v>3476.06</c:v>
                </c:pt>
                <c:pt idx="436">
                  <c:v>199.85</c:v>
                </c:pt>
                <c:pt idx="437">
                  <c:v>4234.91</c:v>
                </c:pt>
                <c:pt idx="438">
                  <c:v>4648.6000000000004</c:v>
                </c:pt>
                <c:pt idx="439">
                  <c:v>1265.8900000000001</c:v>
                </c:pt>
                <c:pt idx="440">
                  <c:v>4244.3999999999996</c:v>
                </c:pt>
                <c:pt idx="441">
                  <c:v>3361.01</c:v>
                </c:pt>
                <c:pt idx="442">
                  <c:v>2945.41</c:v>
                </c:pt>
                <c:pt idx="443">
                  <c:v>4231.32</c:v>
                </c:pt>
                <c:pt idx="444">
                  <c:v>1499.49</c:v>
                </c:pt>
                <c:pt idx="445">
                  <c:v>3975.2</c:v>
                </c:pt>
                <c:pt idx="446">
                  <c:v>1641.15</c:v>
                </c:pt>
                <c:pt idx="447">
                  <c:v>3958.54</c:v>
                </c:pt>
                <c:pt idx="448">
                  <c:v>2310.16</c:v>
                </c:pt>
                <c:pt idx="449">
                  <c:v>673.03</c:v>
                </c:pt>
                <c:pt idx="450">
                  <c:v>1969.45</c:v>
                </c:pt>
                <c:pt idx="451">
                  <c:v>1244.1199999999999</c:v>
                </c:pt>
                <c:pt idx="452">
                  <c:v>592.6</c:v>
                </c:pt>
                <c:pt idx="453">
                  <c:v>640.41</c:v>
                </c:pt>
                <c:pt idx="454">
                  <c:v>3922.35</c:v>
                </c:pt>
                <c:pt idx="455">
                  <c:v>4418.8500000000004</c:v>
                </c:pt>
                <c:pt idx="456">
                  <c:v>4642.93</c:v>
                </c:pt>
                <c:pt idx="457">
                  <c:v>4284.34</c:v>
                </c:pt>
                <c:pt idx="458">
                  <c:v>4168.1000000000004</c:v>
                </c:pt>
                <c:pt idx="459">
                  <c:v>437.3</c:v>
                </c:pt>
                <c:pt idx="460">
                  <c:v>3971.61</c:v>
                </c:pt>
                <c:pt idx="461">
                  <c:v>3938.09</c:v>
                </c:pt>
                <c:pt idx="462">
                  <c:v>743.32</c:v>
                </c:pt>
                <c:pt idx="463">
                  <c:v>3343.85</c:v>
                </c:pt>
                <c:pt idx="464">
                  <c:v>2317.29</c:v>
                </c:pt>
                <c:pt idx="465">
                  <c:v>4510.07</c:v>
                </c:pt>
                <c:pt idx="466">
                  <c:v>3507.5</c:v>
                </c:pt>
                <c:pt idx="467">
                  <c:v>4759.84</c:v>
                </c:pt>
                <c:pt idx="468">
                  <c:v>614.12</c:v>
                </c:pt>
                <c:pt idx="469">
                  <c:v>298.98</c:v>
                </c:pt>
                <c:pt idx="470">
                  <c:v>4870.54</c:v>
                </c:pt>
                <c:pt idx="471">
                  <c:v>492.94</c:v>
                </c:pt>
                <c:pt idx="472">
                  <c:v>1992.36</c:v>
                </c:pt>
                <c:pt idx="473">
                  <c:v>3284.86</c:v>
                </c:pt>
                <c:pt idx="474">
                  <c:v>4412.28</c:v>
                </c:pt>
                <c:pt idx="475">
                  <c:v>1347.43</c:v>
                </c:pt>
                <c:pt idx="476">
                  <c:v>242.39</c:v>
                </c:pt>
                <c:pt idx="477">
                  <c:v>2654.31</c:v>
                </c:pt>
                <c:pt idx="478">
                  <c:v>2408.4499999999998</c:v>
                </c:pt>
                <c:pt idx="479">
                  <c:v>1603.78</c:v>
                </c:pt>
                <c:pt idx="480">
                  <c:v>4382.1099999999997</c:v>
                </c:pt>
                <c:pt idx="481">
                  <c:v>3771.68</c:v>
                </c:pt>
                <c:pt idx="482">
                  <c:v>4304.7700000000004</c:v>
                </c:pt>
                <c:pt idx="483">
                  <c:v>892.86</c:v>
                </c:pt>
                <c:pt idx="484">
                  <c:v>3492.82</c:v>
                </c:pt>
                <c:pt idx="485">
                  <c:v>4878</c:v>
                </c:pt>
                <c:pt idx="486">
                  <c:v>3098.38</c:v>
                </c:pt>
                <c:pt idx="487">
                  <c:v>939.69</c:v>
                </c:pt>
                <c:pt idx="488">
                  <c:v>4979.32</c:v>
                </c:pt>
                <c:pt idx="489">
                  <c:v>2688.79</c:v>
                </c:pt>
                <c:pt idx="490">
                  <c:v>4216.29</c:v>
                </c:pt>
                <c:pt idx="491">
                  <c:v>831.87</c:v>
                </c:pt>
                <c:pt idx="492">
                  <c:v>3363.87</c:v>
                </c:pt>
                <c:pt idx="493">
                  <c:v>4571.83</c:v>
                </c:pt>
                <c:pt idx="494">
                  <c:v>2706.89</c:v>
                </c:pt>
                <c:pt idx="495">
                  <c:v>1514.43</c:v>
                </c:pt>
                <c:pt idx="496">
                  <c:v>724.37</c:v>
                </c:pt>
                <c:pt idx="497">
                  <c:v>1550.13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60"/>
        <c:overlap val="-32"/>
        <c:axId val="-767218736"/>
        <c:axId val="-767216560"/>
      </c:barChart>
      <c:catAx>
        <c:axId val="-7672187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  <a:endParaRPr lang="en-US"/>
          </a:p>
        </c:txPr>
        <c:crossAx val="-767216560"/>
        <c:crosses val="autoZero"/>
        <c:auto val="1"/>
        <c:lblAlgn val="ctr"/>
        <c:lblOffset val="100"/>
        <c:noMultiLvlLbl val="0"/>
      </c:catAx>
      <c:valAx>
        <c:axId val="-767216560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-76721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0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Microsoft YaHei" panose="020B0503020204020204" pitchFamily="34" charset="-122"/>
              <a:ea typeface="Microsoft YaHei" panose="020B0503020204020204" pitchFamily="34" charset="-122"/>
              <a:cs typeface="Microsoft YaHei" panose="020B0503020204020204" pitchFamily="34" charset="-122"/>
              <a:sym typeface="Microsoft YaHei" panose="020B0503020204020204" pitchFamily="34" charset="-122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ec4a092-afc1-425a-9f6a-a42b02ef561a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>
          <a:solidFill>
            <a:schemeClr val="tx1">
              <a:lumMod val="75000"/>
              <a:lumOff val="25000"/>
            </a:schemeClr>
          </a:solidFill>
          <a:latin typeface="Microsoft YaHei" panose="020B0503020204020204" pitchFamily="34" charset="-122"/>
          <a:ea typeface="Microsoft YaHei" panose="020B0503020204020204" pitchFamily="34" charset="-122"/>
          <a:cs typeface="Microsoft YaHei" panose="020B0503020204020204" pitchFamily="34" charset="-122"/>
          <a:sym typeface="Microsoft YaHei" panose="020B0503020204020204" pitchFamily="34" charset="-122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Region by Sum of Sales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 defTabSz="914400"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1526315789474"/>
          <c:y val="0.19722222222222199"/>
          <c:w val="0.85952631578947403"/>
          <c:h val="0.59754629629629596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0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Sheet5!$P$7:$P$10</c:f>
              <c:strCache>
                <c:ptCount val="4"/>
                <c:pt idx="0">
                  <c:v>East</c:v>
                </c:pt>
                <c:pt idx="1">
                  <c:v>West</c:v>
                </c:pt>
                <c:pt idx="2">
                  <c:v>North</c:v>
                </c:pt>
                <c:pt idx="3">
                  <c:v>South</c:v>
                </c:pt>
              </c:strCache>
            </c:strRef>
          </c:cat>
          <c:val>
            <c:numRef>
              <c:f>Sheet5!$Q$7:$Q$10</c:f>
              <c:numCache>
                <c:formatCode>General</c:formatCode>
                <c:ptCount val="4"/>
                <c:pt idx="0">
                  <c:v>337881.27</c:v>
                </c:pt>
                <c:pt idx="1">
                  <c:v>346200.07</c:v>
                </c:pt>
                <c:pt idx="2">
                  <c:v>334964.15999999997</c:v>
                </c:pt>
                <c:pt idx="3">
                  <c:v>303623.69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46"/>
        <c:overlap val="-28"/>
        <c:axId val="-767223632"/>
        <c:axId val="-767223088"/>
      </c:barChart>
      <c:catAx>
        <c:axId val="-767223632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Region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0" vertOverflow="ellipsis" vert="horz" wrap="square" anchor="ctr" anchorCtr="1"/>
            <a:lstStyle/>
            <a:p>
              <a:pPr defTabSz="914400"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767223088"/>
        <c:crosses val="autoZero"/>
        <c:auto val="1"/>
        <c:lblAlgn val="ctr"/>
        <c:lblOffset val="100"/>
        <c:noMultiLvlLbl val="0"/>
      </c:catAx>
      <c:valAx>
        <c:axId val="-76722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Sales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0" vertOverflow="ellipsis" vert="horz" wrap="square" anchor="ctr" anchorCtr="1"/>
            <a:lstStyle/>
            <a:p>
              <a:pPr defTabSz="914400"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767223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770eff4e-fc40-4c00-81ca-62d03a05e9d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ot="0" vert="horz" anchor="t" anchorCtr="1"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81280</xdr:colOff>
      <xdr:row>471</xdr:row>
      <xdr:rowOff>152400</xdr:rowOff>
    </xdr:from>
    <xdr:to>
      <xdr:col>15</xdr:col>
      <xdr:colOff>213360</xdr:colOff>
      <xdr:row>492</xdr:row>
      <xdr:rowOff>30480</xdr:rowOff>
    </xdr:to>
    <xdr:graphicFrame macro="">
      <xdr:nvGraphicFramePr>
        <xdr:cNvPr id="4" name="Chart 3" descr="7b0a202020202263686172745265734964223a202234363130333534220a7d0a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304800</xdr:colOff>
      <xdr:row>1</xdr:row>
      <xdr:rowOff>120015</xdr:rowOff>
    </xdr:from>
    <xdr:to>
      <xdr:col>25</xdr:col>
      <xdr:colOff>132080</xdr:colOff>
      <xdr:row>26</xdr:row>
      <xdr:rowOff>133985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6171.629791666703" createdVersion="5" refreshedVersion="5" minRefreshableVersion="3" recordCount="498">
  <cacheSource type="worksheet">
    <worksheetSource name="Table2_4"/>
  </cacheSource>
  <cacheFields count="12">
    <cacheField name="Column1" numFmtId="0">
      <sharedItems count="498">
        <s v="ORD100000"/>
        <s v="ORD100001"/>
        <s v="ORD100002"/>
        <s v="ORD100003"/>
        <s v="ORD100004"/>
        <s v="ORD100005"/>
        <s v="ORD100006"/>
        <s v="ORD100007"/>
        <s v="ORD100008"/>
        <s v="ORD100009"/>
        <s v="ORD100010"/>
        <s v="ORD100011"/>
        <s v="ORD100012"/>
        <s v="ORD100013"/>
        <s v="ORD100014"/>
        <s v="ORD100015"/>
        <s v="ORD100016"/>
        <s v="ORD100017"/>
        <s v="ORD100018"/>
        <s v="ORD100019"/>
        <s v="ORD100020"/>
        <s v="ORD100021"/>
        <s v="ORD100022"/>
        <s v="ORD100023"/>
        <s v="ORD100024"/>
        <s v="ORD100025"/>
        <s v="ORD100026"/>
        <s v="ORD100027"/>
        <s v="ORD100028"/>
        <s v="ORD100029"/>
        <s v="ORD100030"/>
        <s v="ORD100031"/>
        <s v="ORD100032"/>
        <s v="ORD100033"/>
        <s v="ORD100034"/>
        <s v="ORD100035"/>
        <s v="ORD100036"/>
        <s v="ORD100037"/>
        <s v="ORD100038"/>
        <s v="ORD100039"/>
        <s v="ORD100040"/>
        <s v="ORD100041"/>
        <s v="ORD100042"/>
        <s v="ORD100043"/>
        <s v="ORD100044"/>
        <s v="ORD100045"/>
        <s v="ORD100046"/>
        <s v="ORD100047"/>
        <s v="ORD100048"/>
        <s v="ORD100049"/>
        <s v="ORD100050"/>
        <s v="ORD100051"/>
        <s v="ORD100052"/>
        <s v="ORD100053"/>
        <s v="ORD100054"/>
        <s v="ORD100055"/>
        <s v="ORD100056"/>
        <s v="ORD100057"/>
        <s v="ORD100058"/>
        <s v="ORD100059"/>
        <s v="ORD100060"/>
        <s v="ORD100061"/>
        <s v="ORD100062"/>
        <s v="ORD100063"/>
        <s v="ORD100064"/>
        <s v="ORD100065"/>
        <s v="ORD100066"/>
        <s v="ORD100067"/>
        <s v="ORD100068"/>
        <s v="ORD100069"/>
        <s v="ORD100070"/>
        <s v="ORD100071"/>
        <s v="ORD100072"/>
        <s v="ORD100073"/>
        <s v="ORD100074"/>
        <s v="ORD100075"/>
        <s v="ORD100076"/>
        <s v="ORD100077"/>
        <s v="ORD100078"/>
        <s v="ORD100079"/>
        <s v="ORD100080"/>
        <s v="ORD100081"/>
        <s v="ORD100082"/>
        <s v="ORD100083"/>
        <s v="ORD100084"/>
        <s v="ORD100085"/>
        <s v="ORD100086"/>
        <s v="ORD100087"/>
        <s v="ORD100088"/>
        <s v="ORD100089"/>
        <s v="ORD100090"/>
        <s v="ORD100091"/>
        <s v="ORD100092"/>
        <s v="ORD100093"/>
        <s v="ORD100094"/>
        <s v="ORD100095"/>
        <s v="ORD100096"/>
        <s v="ORD100097"/>
        <s v="ORD100098"/>
        <s v="ORD100099"/>
        <s v="ORD100100"/>
        <s v="ORD100101"/>
        <s v="ORD100102"/>
        <s v="ORD100103"/>
        <s v="ORD100104"/>
        <s v="ORD100105"/>
        <s v="ORD100106"/>
        <s v="ORD100107"/>
        <s v="ORD100108"/>
        <s v="ORD100109"/>
        <s v="ORD100110"/>
        <s v="ORD100111"/>
        <s v="ORD100112"/>
        <s v="ORD100113"/>
        <s v="ORD100114"/>
        <s v="ORD100115"/>
        <s v="ORD100116"/>
        <s v="ORD100117"/>
        <s v="ORD100118"/>
        <s v="ORD100119"/>
        <s v="ORD100120"/>
        <s v="ORD100121"/>
        <s v="ORD100122"/>
        <s v="ORD100123"/>
        <s v="ORD100124"/>
        <s v="ORD100125"/>
        <s v="ORD100126"/>
        <s v="ORD100127"/>
        <s v="ORD100128"/>
        <s v="ORD100129"/>
        <s v="ORD100130"/>
        <s v="ORD100131"/>
        <s v="ORD100132"/>
        <s v="ORD100133"/>
        <s v="ORD100134"/>
        <s v="ORD100135"/>
        <s v="ORD100136"/>
        <s v="ORD100137"/>
        <s v="ORD100138"/>
        <s v="ORD100139"/>
        <s v="ORD100140"/>
        <s v="ORD100141"/>
        <s v="ORD100142"/>
        <s v="ORD100143"/>
        <s v="ORD100144"/>
        <s v="ORD100145"/>
        <s v="ORD100146"/>
        <s v="ORD100147"/>
        <s v="ORD100148"/>
        <s v="ORD100149"/>
        <s v="ORD100150"/>
        <s v="ORD100151"/>
        <s v="ORD100152"/>
        <s v="ORD100153"/>
        <s v="ORD100154"/>
        <s v="ORD100155"/>
        <s v="ORD100156"/>
        <s v="ORD100157"/>
        <s v="ORD100158"/>
        <s v="ORD100159"/>
        <s v="ORD100160"/>
        <s v="ORD100161"/>
        <s v="ORD100162"/>
        <s v="ORD100163"/>
        <s v="ORD100164"/>
        <s v="ORD100165"/>
        <s v="ORD100166"/>
        <s v="ORD100167"/>
        <s v="ORD100168"/>
        <s v="ORD100169"/>
        <s v="ORD100170"/>
        <s v="ORD100171"/>
        <s v="ORD100172"/>
        <s v="ORD100173"/>
        <s v="ORD100174"/>
        <s v="ORD100175"/>
        <s v="ORD100176"/>
        <s v="ORD100177"/>
        <s v="ORD100178"/>
        <s v="ORD100179"/>
        <s v="ORD100180"/>
        <s v="ORD100181"/>
        <s v="ORD100182"/>
        <s v="ORD100183"/>
        <s v="ORD100184"/>
        <s v="ORD100185"/>
        <s v="ORD100186"/>
        <s v="ORD100187"/>
        <s v="ORD100188"/>
        <s v="ORD100189"/>
        <s v="ORD100190"/>
        <s v="ORD100191"/>
        <s v="ORD100192"/>
        <s v="ORD100193"/>
        <s v="ORD100194"/>
        <s v="ORD100195"/>
        <s v="ORD100196"/>
        <s v="ORD100197"/>
        <s v="ORD100198"/>
        <s v="ORD100199"/>
        <s v="ORD100200"/>
        <s v="ORD100201"/>
        <s v="ORD100202"/>
        <s v="ORD100203"/>
        <s v="ORD100204"/>
        <s v="ORD100205"/>
        <s v="ORD100206"/>
        <s v="ORD100207"/>
        <s v="ORD100208"/>
        <s v="ORD100209"/>
        <s v="ORD100210"/>
        <s v="ORD100211"/>
        <s v="ORD100212"/>
        <s v="ORD100213"/>
        <s v="ORD100214"/>
        <s v="ORD100215"/>
        <s v="ORD100216"/>
        <s v="ORD100217"/>
        <s v="ORD100218"/>
        <s v="ORD100219"/>
        <s v="ORD100220"/>
        <s v="ORD100221"/>
        <s v="ORD100222"/>
        <s v="ORD100223"/>
        <s v="ORD100224"/>
        <s v="ORD100225"/>
        <s v="ORD100226"/>
        <s v="ORD100227"/>
        <s v="ORD100228"/>
        <s v="ORD100229"/>
        <s v="ORD100230"/>
        <s v="ORD100231"/>
        <s v="ORD100232"/>
        <s v="ORD100233"/>
        <s v="ORD100234"/>
        <s v="ORD100235"/>
        <s v="ORD100236"/>
        <s v="ORD100237"/>
        <s v="ORD100238"/>
        <s v="ORD100239"/>
        <s v="ORD100240"/>
        <s v="ORD100241"/>
        <s v="ORD100242"/>
        <s v="ORD100243"/>
        <s v="ORD100244"/>
        <s v="ORD100245"/>
        <s v="ORD100246"/>
        <s v="ORD100247"/>
        <s v="ORD100248"/>
        <s v="ORD100249"/>
        <s v="ORD100250"/>
        <s v="ORD100251"/>
        <s v="ORD100252"/>
        <s v="ORD100253"/>
        <s v="ORD100254"/>
        <s v="ORD100255"/>
        <s v="ORD100256"/>
        <s v="ORD100257"/>
        <s v="ORD100258"/>
        <s v="ORD100259"/>
        <s v="ORD100260"/>
        <s v="ORD100261"/>
        <s v="ORD100262"/>
        <s v="ORD100263"/>
        <s v="ORD100264"/>
        <s v="ORD100265"/>
        <s v="ORD100266"/>
        <s v="ORD100267"/>
        <s v="ORD100268"/>
        <s v="ORD100269"/>
        <s v="ORD100270"/>
        <s v="ORD100271"/>
        <s v="ORD100272"/>
        <s v="ORD100273"/>
        <s v="ORD100274"/>
        <s v="ORD100275"/>
        <s v="ORD100276"/>
        <s v="ORD100277"/>
        <s v="ORD100278"/>
        <s v="ORD100279"/>
        <s v="ORD100280"/>
        <s v="ORD100281"/>
        <s v="ORD100282"/>
        <s v="ORD100283"/>
        <s v="ORD100284"/>
        <s v="ORD100285"/>
        <s v="ORD100286"/>
        <s v="ORD100287"/>
        <s v="ORD100288"/>
        <s v="ORD100289"/>
        <s v="ORD100290"/>
        <s v="ORD100291"/>
        <s v="ORD100292"/>
        <s v="ORD100293"/>
        <s v="ORD100294"/>
        <s v="ORD100295"/>
        <s v="ORD100296"/>
        <s v="ORD100297"/>
        <s v="ORD100298"/>
        <s v="ORD100299"/>
        <s v="ORD100300"/>
        <s v="ORD100301"/>
        <s v="ORD100302"/>
        <s v="ORD100303"/>
        <s v="ORD100304"/>
        <s v="ORD100305"/>
        <s v="ORD100306"/>
        <s v="ORD100307"/>
        <s v="ORD100308"/>
        <s v="ORD100309"/>
        <s v="ORD100310"/>
        <s v="ORD100311"/>
        <s v="ORD100312"/>
        <s v="ORD100313"/>
        <s v="ORD100314"/>
        <s v="ORD100315"/>
        <s v="ORD100316"/>
        <s v="ORD100317"/>
        <s v="ORD100318"/>
        <s v="ORD100319"/>
        <s v="ORD100320"/>
        <s v="ORD100321"/>
        <s v="ORD100322"/>
        <s v="ORD100323"/>
        <s v="ORD100324"/>
        <s v="ORD100325"/>
        <s v="ORD100326"/>
        <s v="ORD100327"/>
        <s v="ORD100328"/>
        <s v="ORD100329"/>
        <s v="ORD100330"/>
        <s v="ORD100331"/>
        <s v="ORD100332"/>
        <s v="ORD100333"/>
        <s v="ORD100334"/>
        <s v="ORD100335"/>
        <s v="ORD100336"/>
        <s v="ORD100337"/>
        <s v="ORD100338"/>
        <s v="ORD100339"/>
        <s v="ORD100340"/>
        <s v="ORD100341"/>
        <s v="ORD100342"/>
        <s v="ORD100343"/>
        <s v="ORD100344"/>
        <s v="ORD100345"/>
        <s v="ORD100346"/>
        <s v="ORD100347"/>
        <s v="ORD100348"/>
        <s v="ORD100349"/>
        <s v="ORD100350"/>
        <s v="ORD100351"/>
        <s v="ORD100352"/>
        <s v="ORD100353"/>
        <s v="ORD100354"/>
        <s v="ORD100355"/>
        <s v="ORD100356"/>
        <s v="ORD100357"/>
        <s v="ORD100358"/>
        <s v="ORD100359"/>
        <s v="ORD100360"/>
        <s v="ORD100361"/>
        <s v="ORD100362"/>
        <s v="ORD100363"/>
        <s v="ORD100364"/>
        <s v="ORD100365"/>
        <s v="ORD100366"/>
        <s v="ORD100367"/>
        <s v="ORD100368"/>
        <s v="ORD100369"/>
        <s v="ORD100370"/>
        <s v="ORD100371"/>
        <s v="ORD100372"/>
        <s v="ORD100373"/>
        <s v="ORD100374"/>
        <s v="ORD100375"/>
        <s v="ORD100376"/>
        <s v="ORD100377"/>
        <s v="ORD100378"/>
        <s v="ORD100379"/>
        <s v="ORD100380"/>
        <s v="ORD100381"/>
        <s v="ORD100382"/>
        <s v="ORD100383"/>
        <s v="ORD100384"/>
        <s v="ORD100385"/>
        <s v="ORD100386"/>
        <s v="ORD100387"/>
        <s v="ORD100388"/>
        <s v="ORD100389"/>
        <s v="ORD100390"/>
        <s v="ORD100391"/>
        <s v="ORD100392"/>
        <s v="ORD100393"/>
        <s v="ORD100394"/>
        <s v="ORD100395"/>
        <s v="ORD100396"/>
        <s v="ORD100397"/>
        <s v="ORD100398"/>
        <s v="ORD100399"/>
        <s v="ORD100400"/>
        <s v="ORD100401"/>
        <s v="ORD100402"/>
        <s v="ORD100403"/>
        <s v="ORD100404"/>
        <s v="ORD100405"/>
        <s v="ORD100406"/>
        <s v="ORD100407"/>
        <s v="ORD100408"/>
        <s v="ORD100409"/>
        <s v="ORD100410"/>
        <s v="ORD100411"/>
        <s v="ORD100412"/>
        <s v="ORD100413"/>
        <s v="ORD100414"/>
        <s v="ORD100415"/>
        <s v="ORD100416"/>
        <s v="ORD100417"/>
        <s v="ORD100418"/>
        <s v="ORD100419"/>
        <s v="ORD100420"/>
        <s v="ORD100421"/>
        <s v="ORD100422"/>
        <s v="ORD100423"/>
        <s v="ORD100424"/>
        <s v="ORD100425"/>
        <s v="ORD100426"/>
        <s v="ORD100427"/>
        <s v="ORD100428"/>
        <s v="ORD100429"/>
        <s v="ORD100430"/>
        <s v="ORD100431"/>
        <s v="ORD100432"/>
        <s v="ORD100433"/>
        <s v="ORD100434"/>
        <s v="ORD100435"/>
        <s v="ORD100436"/>
        <s v="ORD100437"/>
        <s v="ORD100438"/>
        <s v="ORD100439"/>
        <s v="ORD100440"/>
        <s v="ORD100441"/>
        <s v="ORD100442"/>
        <s v="ORD100443"/>
        <s v="ORD100444"/>
        <s v="ORD100445"/>
        <s v="ORD100446"/>
        <s v="ORD100447"/>
        <s v="ORD100448"/>
        <s v="ORD100449"/>
        <s v="ORD100450"/>
        <s v="ORD100451"/>
        <s v="ORD100452"/>
        <s v="ORD100453"/>
        <s v="ORD100454"/>
        <s v="ORD100455"/>
        <s v="ORD100456"/>
        <s v="ORD100457"/>
        <s v="ORD100458"/>
        <s v="ORD100459"/>
        <s v="ORD100460"/>
        <s v="ORD100461"/>
        <s v="ORD100462"/>
        <s v="ORD100463"/>
        <s v="ORD100464"/>
        <s v="ORD100465"/>
        <s v="ORD100466"/>
        <s v="ORD100467"/>
        <s v="ORD100468"/>
        <s v="ORD100469"/>
        <s v="ORD100470"/>
        <s v="ORD100471"/>
        <s v="ORD100472"/>
        <s v="ORD100473"/>
        <s v="ORD100474"/>
        <s v="ORD100475"/>
        <s v="ORD100476"/>
        <s v="ORD100477"/>
        <s v="ORD100478"/>
        <s v="ORD100479"/>
        <s v="ORD100480"/>
        <s v="ORD100481"/>
        <s v="ORD100482"/>
        <s v="ORD100483"/>
        <s v="ORD100484"/>
        <s v="ORD100485"/>
        <s v="ORD100486"/>
        <s v="ORD100487"/>
        <s v="ORD100488"/>
        <s v="ORD100489"/>
        <s v="ORD100490"/>
        <s v="ORD100491"/>
        <s v="ORD100492"/>
        <s v="ORD100493"/>
        <s v="ORD100494"/>
        <s v="ORD100495"/>
        <s v="ORD100496"/>
        <s v="ORD100497"/>
      </sharedItems>
    </cacheField>
    <cacheField name="Region" numFmtId="0">
      <sharedItems count="4">
        <s v="East"/>
        <s v="West"/>
        <s v="North"/>
        <s v="South"/>
      </sharedItems>
    </cacheField>
    <cacheField name="Category" numFmtId="0">
      <sharedItems count="5">
        <s v="Clothing"/>
        <s v="Electronics"/>
        <s v="Home Care"/>
        <s v="Grocery"/>
        <s v="Personal Care"/>
      </sharedItems>
    </cacheField>
    <cacheField name="sales" numFmtId="0">
      <sharedItems containsSemiMixedTypes="0" containsString="0" containsNumber="1" minValue="0" maxValue="4997.47" count="498">
        <n v="713.49"/>
        <n v="3802.97"/>
        <n v="3588.97"/>
        <n v="1160.8599999999999"/>
        <n v="3071.32"/>
        <n v="2566.1799999999998"/>
        <n v="398"/>
        <n v="1462.95"/>
        <n v="4997.47"/>
        <n v="587.72"/>
        <n v="2581.42"/>
        <n v="4261.74"/>
        <n v="1573.19"/>
        <n v="1377.47"/>
        <n v="4464.8900000000003"/>
        <n v="1593.67"/>
        <n v="3292.32"/>
        <n v="3727.53"/>
        <n v="3964.23"/>
        <n v="4974.32"/>
        <n v="4035.64"/>
        <n v="3319.36"/>
        <n v="4487.7700000000004"/>
        <n v="4538.1499999999996"/>
        <n v="4868.5200000000004"/>
        <n v="3904.68"/>
        <n v="1055.1400000000001"/>
        <n v="3578.05"/>
        <n v="468.13"/>
        <n v="1658.02"/>
        <n v="667.46"/>
        <n v="4754.72"/>
        <n v="1759.9"/>
        <n v="3594.76"/>
        <n v="2899.46"/>
        <n v="626.80999999999995"/>
        <n v="2850.59"/>
        <n v="3339.02"/>
        <n v="4419.43"/>
        <n v="443.42"/>
        <n v="1548.61"/>
        <n v="3492.47"/>
        <n v="268.23"/>
        <n v="1097.4100000000001"/>
        <n v="1171.48"/>
        <n v="3379.7"/>
        <n v="1501.21"/>
        <n v="3038.02"/>
        <n v="4830.21"/>
        <n v="3986.89"/>
        <n v="1731.22"/>
        <n v="2414.7600000000002"/>
        <n v="1083.3"/>
        <n v="177.03"/>
        <n v="1519.61"/>
        <n v="1910.1"/>
        <n v="2865.4"/>
        <n v="4725.93"/>
        <n v="4744.4799999999996"/>
        <n v="443.48"/>
        <n v="3111.76"/>
        <n v="307.52999999999997"/>
        <n v="3275.6"/>
        <n v="676.75"/>
        <n v="4737.37"/>
        <n v="4335.26"/>
        <n v="209.41"/>
        <n v="3932.45"/>
        <n v="3215.9"/>
        <n v="2527.31"/>
        <n v="3052.91"/>
        <n v="3423.43"/>
        <n v="4433.84"/>
        <n v="3860.05"/>
        <n v="2919.35"/>
        <n v="4140.62"/>
        <n v="4935.92"/>
        <n v="1570.89"/>
        <n v="680.26"/>
        <n v="3684.1"/>
        <n v="4895.12"/>
        <n v="671.86"/>
        <n v="2215.37"/>
        <n v="405.11"/>
        <n v="3905.01"/>
        <n v="4748.67"/>
        <n v="2545.0700000000002"/>
        <n v="2106.65"/>
        <n v="4547.82"/>
        <n v="753.6"/>
        <n v="4468.76"/>
        <n v="2021.42"/>
        <n v="2841.09"/>
        <n v="2688.63"/>
        <n v="3118.3"/>
        <n v="4716.3999999999996"/>
        <n v="4760.5200000000004"/>
        <n v="4172.63"/>
        <n v="1038.57"/>
        <n v="1734.23"/>
        <n v="2490.34"/>
        <n v="4536.76"/>
        <n v="2652.24"/>
        <n v="4889.43"/>
        <n v="4920.82"/>
        <n v="3033.06"/>
        <n v="4399.7299999999996"/>
        <n v="4996.1899999999996"/>
        <n v="4263.6099999999997"/>
        <n v="3318.86"/>
        <n v="4241.1499999999996"/>
        <n v="505.01"/>
        <n v="3210.62"/>
        <n v="1160.96"/>
        <n v="668.71"/>
        <n v="4475.07"/>
        <n v="3234.26"/>
        <n v="1293.3800000000001"/>
        <n v="1995.23"/>
        <n v="4869.0600000000004"/>
        <n v="4324.6899999999996"/>
        <n v="176.35"/>
        <n v="4901.0200000000004"/>
        <n v="1905.79"/>
        <n v="3507.55"/>
        <n v="3592.12"/>
        <n v="4567.25"/>
        <n v="4436.8"/>
        <n v="1480.47"/>
        <n v="3253.32"/>
        <n v="2029.16"/>
        <n v="2675.16"/>
        <n v="2817.92"/>
        <n v="2042.08"/>
        <n v="2373.08"/>
        <n v="1120.8800000000001"/>
        <n v="3077.47"/>
        <n v="3818.9"/>
        <n v="2205.73"/>
        <n v="4890.63"/>
        <n v="380.41"/>
        <n v="2986.89"/>
        <n v="2959.64"/>
        <n v="277.85000000000002"/>
        <n v="1200.3900000000001"/>
        <n v="4537.16"/>
        <n v="2768.12"/>
        <n v="2238.29"/>
        <n v="2135.9299999999998"/>
        <n v="4451.99"/>
        <n v="1898.45"/>
        <n v="4309.92"/>
        <n v="1615.04"/>
        <n v="2704.37"/>
        <n v="804.72"/>
        <n v="4142.6499999999996"/>
        <n v="3706.28"/>
        <n v="2697.46"/>
        <n v="226.92"/>
        <n v="2458.16"/>
        <n v="1203.46"/>
        <n v="2125.5300000000002"/>
        <n v="4296.49"/>
        <n v="3871.06"/>
        <n v="1285.57"/>
        <n v="4926.2700000000004"/>
        <n v="4525.7299999999996"/>
        <n v="2690.5"/>
        <n v="2697.74"/>
        <n v="4516.2"/>
        <n v="3217.11"/>
        <n v="2729.77"/>
        <n v="3770.83"/>
        <n v="1251.98"/>
        <n v="4404.05"/>
        <n v="2703.93"/>
        <n v="3057.15"/>
        <n v="540.72"/>
        <n v="1616.59"/>
        <n v="2191"/>
        <n v="2128.16"/>
        <n v="3913.59"/>
        <n v="1483.38"/>
        <n v="992.34"/>
        <n v="2954.82"/>
        <n v="3113.57"/>
        <n v="695.76"/>
        <n v="112.1"/>
        <n v="4596.4799999999996"/>
        <n v="490.22"/>
        <n v="4499.55"/>
        <n v="2056.15"/>
        <n v="3299.97"/>
        <n v="1009.51"/>
        <n v="4137.1899999999996"/>
        <n v="982.95"/>
        <n v="1993.89"/>
        <n v="1266.33"/>
        <n v="4203.78"/>
        <n v="4305.8500000000004"/>
        <n v="1922.94"/>
        <n v="1606.15"/>
        <n v="3890.47"/>
        <n v="4404.71"/>
        <n v="3157.7"/>
        <n v="4644.28"/>
        <n v="1976.91"/>
        <n v="844.24"/>
        <n v="980.25"/>
        <n v="3382.18"/>
        <n v="2096.88"/>
        <n v="865.94"/>
        <n v="1531.91"/>
        <n v="2699.96"/>
        <n v="695.08"/>
        <n v="116.87"/>
        <n v="4594.76"/>
        <n v="1593.82"/>
        <n v="1185.3399999999999"/>
        <n v="3522.56"/>
        <n v="4281.67"/>
        <n v="3198.17"/>
        <n v="1346.97"/>
        <n v="4322.0200000000004"/>
        <n v="2601.09"/>
        <n v="1967.83"/>
        <n v="3063.16"/>
        <n v="3533"/>
        <n v="3009.77"/>
        <n v="4609.2"/>
        <n v="3177.29"/>
        <n v="4405.05"/>
        <n v="2976.1"/>
        <n v="1715.43"/>
        <n v="2708.25"/>
        <n v="523.04999999999995"/>
        <n v="1227.8599999999999"/>
        <n v="3854.54"/>
        <n v="3341.23"/>
        <n v="915.94"/>
        <n v="2246.27"/>
        <n v="795.76"/>
        <n v="4293.51"/>
        <n v="634.92999999999995"/>
        <n v="3305.75"/>
        <n v="3074.3"/>
        <n v="2416.61"/>
        <n v="1463.35"/>
        <n v="2079.39"/>
        <n v="4051.32"/>
        <n v="3831.6"/>
        <n v="3720.16"/>
        <n v="3774.14"/>
        <n v="805.04"/>
        <n v="585.57000000000005"/>
        <n v="4321.34"/>
        <n v="4202.16"/>
        <n v="3438.46"/>
        <n v="3068.94"/>
        <n v="1897.67"/>
        <n v="1198"/>
        <n v="3371.52"/>
        <n v="4573.87"/>
        <n v="2241.2800000000002"/>
        <n v="1585.74"/>
        <n v="1426.63"/>
        <n v="216.16"/>
        <n v="2649.55"/>
        <n v="4942.3599999999997"/>
        <n v="4094.66"/>
        <n v="4497.63"/>
        <n v="3143.7"/>
        <n v="2459.09"/>
        <n v="4953.24"/>
        <n v="2291.09"/>
        <n v="4592.47"/>
        <n v="3833.04"/>
        <n v="1721.79"/>
        <n v="2565"/>
        <n v="1983.21"/>
        <n v="767.49"/>
        <n v="1848.16"/>
        <n v="4455.97"/>
        <n v="3787.91"/>
        <n v="1460.15"/>
        <n v="1902.78"/>
        <n v="3120.53"/>
        <n v="2139.09"/>
        <n v="2564.92"/>
        <n v="3521.03"/>
        <n v="2389.5300000000002"/>
        <n v="1035.75"/>
        <n v="2650.81"/>
        <n v="1844.98"/>
        <n v="1524.6"/>
        <n v="1707.73"/>
        <n v="2251.11"/>
        <n v="4444.3999999999996"/>
        <n v="3696.88"/>
        <n v="3372.62"/>
        <n v="2409.1799999999998"/>
        <n v="108.97"/>
        <n v="1768.7"/>
        <n v="4084.64"/>
        <n v="2002.04"/>
        <n v="2862.71"/>
        <n v="1103.23"/>
        <n v="4587.7"/>
        <n v="4623.54"/>
        <n v="815.74"/>
        <n v="3648.38"/>
        <n v="468.67"/>
        <n v="3032.88"/>
        <n v="975.4"/>
        <n v="813.96"/>
        <n v="120.19"/>
        <n v="4710.2"/>
        <n v="4163.34"/>
        <n v="479.63"/>
        <n v="3036.94"/>
        <n v="1241.2"/>
        <n v="1393.68"/>
        <n v="4383.43"/>
        <n v="660.2"/>
        <n v="3047.3"/>
        <n v="2066.15"/>
        <n v="1034.92"/>
        <n v="2314.4"/>
        <n v="4708.3999999999996"/>
        <n v="3929.89"/>
        <n v="747.35"/>
        <n v="4262.21"/>
        <n v="4693.46"/>
        <n v="1457.12"/>
        <n v="1733.76"/>
        <n v="718.92"/>
        <n v="1790.21"/>
        <n v="3398.39"/>
        <n v="1433.56"/>
        <n v="133.44"/>
        <n v="1758.87"/>
        <n v="2320.5500000000002"/>
        <n v="2875.14"/>
        <n v="3450.74"/>
        <n v="402.74"/>
        <n v="2401.7800000000002"/>
        <n v="1405.18"/>
        <n v="4745.05"/>
        <n v="1863.5"/>
        <n v="590.61"/>
        <n v="303.31"/>
        <n v="1400.49"/>
        <n v="976.51"/>
        <n v="3284.02"/>
        <n v="4250.1400000000003"/>
        <n v="1631.54"/>
        <n v="2931.18"/>
        <n v="3678.5"/>
        <n v="2052.59"/>
        <n v="425"/>
        <n v="1223.01"/>
        <n v="4427.0200000000004"/>
        <n v="4139.95"/>
        <n v="524.01"/>
        <n v="1197.3499999999999"/>
        <n v="3868.91"/>
        <n v="2480.9"/>
        <n v="3823.84"/>
        <n v="1134.3499999999999"/>
        <n v="4768.22"/>
        <n v="3939.68"/>
        <n v="1067.52"/>
        <n v="2836.4"/>
        <n v="654.17999999999995"/>
        <n v="1871.03"/>
        <n v="3332.14"/>
        <n v="1717.63"/>
        <n v="3318.12"/>
        <n v="1299.42"/>
        <n v="3633.91"/>
        <n v="1861.99"/>
        <n v="3973.36"/>
        <n v="769.78"/>
        <n v="1873.69"/>
        <n v="2373.27"/>
        <n v="2176.84"/>
        <n v="2222.16"/>
        <n v="2279.54"/>
        <n v="4945.1400000000003"/>
        <n v="1046.47"/>
        <n v="3866.45"/>
        <n v="2803.77"/>
        <n v="2126.7800000000002"/>
        <n v="3204.29"/>
        <n v="4282.3"/>
        <n v="2386.5300000000002"/>
        <n v="4337.53"/>
        <n v="559.61"/>
        <n v="3300.11"/>
        <n v="1732.58"/>
        <n v="1994.91"/>
        <n v="2898"/>
        <n v="2451.59"/>
        <n v="1970.72"/>
        <n v="1610.78"/>
        <n v="3129.74"/>
        <n v="2577.34"/>
        <n v="1684.21"/>
        <n v="1104.31"/>
        <n v="3894.89"/>
        <n v="4018.6"/>
        <n v="1147.56"/>
        <n v="1382.08"/>
        <n v="1271.8"/>
        <n v="4434.3900000000003"/>
        <n v="3893.24"/>
        <n v="465.41"/>
        <n v="4180.0600000000004"/>
        <n v="280.57"/>
        <n v="1340.68"/>
        <n v="4603.0600000000004"/>
        <n v="4335.22"/>
        <n v="3929.03"/>
        <n v="2341.98"/>
        <n v="1674.93"/>
        <n v="4419.57"/>
        <n v="3319.66"/>
        <n v="1547.99"/>
        <n v="2369.66"/>
        <n v="4419.3500000000004"/>
        <n v="4526.93"/>
        <n v="3330.58"/>
        <n v="3689.52"/>
        <n v="292.56"/>
        <n v="3062.54"/>
        <n v="3476.06"/>
        <n v="199.85"/>
        <n v="4234.91"/>
        <n v="4648.6000000000004"/>
        <n v="1265.8900000000001"/>
        <n v="4244.3999999999996"/>
        <n v="3361.01"/>
        <n v="2945.41"/>
        <n v="4231.32"/>
        <n v="1499.49"/>
        <n v="3975.2"/>
        <n v="1641.15"/>
        <n v="3958.54"/>
        <n v="2310.16"/>
        <n v="673.03"/>
        <n v="1969.45"/>
        <n v="1244.1199999999999"/>
        <n v="592.6"/>
        <n v="640.41"/>
        <n v="3922.35"/>
        <n v="4418.8500000000004"/>
        <n v="4642.93"/>
        <n v="4284.34"/>
        <n v="4168.1000000000004"/>
        <n v="437.3"/>
        <n v="3971.61"/>
        <n v="3938.09"/>
        <n v="743.32"/>
        <n v="3343.85"/>
        <n v="2317.29"/>
        <n v="4510.07"/>
        <n v="3507.5"/>
        <n v="4759.84"/>
        <n v="614.12"/>
        <n v="298.98"/>
        <n v="4870.54"/>
        <n v="492.94"/>
        <n v="1992.36"/>
        <n v="3284.86"/>
        <n v="4412.28"/>
        <n v="1347.43"/>
        <n v="242.39"/>
        <n v="2654.31"/>
        <n v="2408.4499999999998"/>
        <n v="1603.78"/>
        <n v="4382.1099999999997"/>
        <n v="3771.68"/>
        <n v="4304.7700000000004"/>
        <n v="892.86"/>
        <n v="3492.82"/>
        <n v="4878"/>
        <n v="3098.38"/>
        <n v="939.69"/>
        <n v="4979.32"/>
        <n v="2688.79"/>
        <n v="4216.29"/>
        <n v="831.87"/>
        <n v="3363.87"/>
        <n v="4571.83"/>
        <n v="2706.89"/>
        <n v="1514.43"/>
        <n v="724.37"/>
        <n v="1550.13"/>
      </sharedItems>
    </cacheField>
    <cacheField name="discount" numFmtId="0">
      <sharedItems containsSemiMixedTypes="0" containsString="0" containsNumber="1" minValue="0" maxValue="0.5" count="51">
        <n v="0.31"/>
        <n v="0.38"/>
        <n v="0.1"/>
        <n v="0.27"/>
        <n v="0"/>
        <n v="0.02"/>
        <n v="0.16"/>
        <n v="0.23"/>
        <n v="0.28999999999999998"/>
        <n v="0.44"/>
        <n v="0.39"/>
        <n v="0.15"/>
        <n v="0.37"/>
        <n v="0.21"/>
        <n v="0.05"/>
        <n v="0.28000000000000003"/>
        <n v="0.48"/>
        <n v="0.08"/>
        <n v="0.33"/>
        <n v="0.24"/>
        <n v="0.19"/>
        <n v="0.4"/>
        <n v="0.41"/>
        <n v="0.36"/>
        <n v="0.04"/>
        <n v="0.17"/>
        <n v="0.32"/>
        <n v="0.26"/>
        <n v="0.35"/>
        <n v="0.18"/>
        <n v="0.22"/>
        <n v="0.06"/>
        <n v="0.42"/>
        <n v="0.12"/>
        <n v="0.49"/>
        <n v="7.0000000000000007E-2"/>
        <n v="0.43"/>
        <n v="0.3"/>
        <n v="0.47"/>
        <n v="0.46"/>
        <n v="0.34"/>
        <n v="0.03"/>
        <n v="0.45"/>
        <n v="0.5"/>
        <n v="0.09"/>
        <n v="0.13"/>
        <n v="0.25"/>
        <n v="0.14000000000000001"/>
        <n v="0.2"/>
        <n v="0.11"/>
        <n v="0.01"/>
      </sharedItems>
    </cacheField>
    <cacheField name="quantity" numFmtId="0">
      <sharedItems containsSemiMixedTypes="0" containsString="0" containsNumber="1" containsInteger="1" minValue="0" maxValue="9" count="9">
        <n v="3"/>
        <n v="4"/>
        <n v="7"/>
        <n v="5"/>
        <n v="6"/>
        <n v="2"/>
        <n v="1"/>
        <n v="9"/>
        <n v="8"/>
      </sharedItems>
    </cacheField>
    <cacheField name="order_date" numFmtId="0">
      <sharedItems containsSemiMixedTypes="0" containsNonDate="0" containsDate="1" containsString="0" minDate="2023-01-06T00:00:00" maxDate="2024-12-31T00:00:00" count="361">
        <d v="2023-03-30T00:00:00"/>
        <d v="2023-08-28T00:00:00"/>
        <d v="2024-03-09T00:00:00"/>
        <d v="2024-10-13T00:00:00"/>
        <d v="2023-04-06T00:00:00"/>
        <d v="2023-07-01T00:00:00"/>
        <d v="2023-07-12T00:00:00"/>
        <d v="2023-05-18T00:00:00"/>
        <d v="2024-01-05T00:00:00"/>
        <d v="2024-08-10T00:00:00"/>
        <d v="2024-05-07T00:00:00"/>
        <d v="2023-09-02T00:00:00"/>
        <d v="2024-02-09T00:00:00"/>
        <d v="2023-05-28T00:00:00"/>
        <d v="2024-10-18T00:00:00"/>
        <d v="2023-04-26T00:00:00"/>
        <d v="2023-10-29T00:00:00"/>
        <d v="2024-06-05T00:00:00"/>
        <d v="2023-05-01T00:00:00"/>
        <d v="2024-10-21T00:00:00"/>
        <d v="2023-08-15T00:00:00"/>
        <d v="2024-12-31T00:00:00"/>
        <d v="2023-03-20T00:00:00"/>
        <d v="2023-12-12T00:00:00"/>
        <d v="2023-05-20T00:00:00"/>
        <d v="2024-06-19T00:00:00"/>
        <d v="2023-10-16T00:00:00"/>
        <d v="2023-11-25T00:00:00"/>
        <d v="2024-03-05T00:00:00"/>
        <d v="2023-04-10T00:00:00"/>
        <d v="2024-08-23T00:00:00"/>
        <d v="2023-01-07T00:00:00"/>
        <d v="2023-06-20T00:00:00"/>
        <d v="2023-09-20T00:00:00"/>
        <d v="2024-01-07T00:00:00"/>
        <d v="2024-06-27T00:00:00"/>
        <d v="2024-12-25T00:00:00"/>
        <d v="2024-05-11T00:00:00"/>
        <d v="2023-02-28T00:00:00"/>
        <d v="2023-12-01T00:00:00"/>
        <d v="2023-01-30T00:00:00"/>
        <d v="2023-09-17T00:00:00"/>
        <d v="2024-06-29T00:00:00"/>
        <d v="2023-05-17T00:00:00"/>
        <d v="2023-11-12T00:00:00"/>
        <d v="2024-04-04T00:00:00"/>
        <d v="2024-02-12T00:00:00"/>
        <d v="2024-09-18T00:00:00"/>
        <d v="2023-07-02T00:00:00"/>
        <d v="2023-09-04T00:00:00"/>
        <d v="2023-01-29T00:00:00"/>
        <d v="2023-11-06T00:00:00"/>
        <d v="2023-06-28T00:00:00"/>
        <d v="2024-05-19T00:00:00"/>
        <d v="2024-01-12T00:00:00"/>
        <d v="2023-10-05T00:00:00"/>
        <d v="2024-04-27T00:00:00"/>
        <d v="2023-10-03T00:00:00"/>
        <d v="2023-10-20T00:00:00"/>
        <d v="2023-05-08T00:00:00"/>
        <d v="2023-11-03T00:00:00"/>
        <d v="2023-03-14T00:00:00"/>
        <d v="2024-01-08T00:00:00"/>
        <d v="2024-12-26T00:00:00"/>
        <d v="2024-12-20T00:00:00"/>
        <d v="2023-03-03T00:00:00"/>
        <d v="2023-02-13T00:00:00"/>
        <d v="2024-06-06T00:00:00"/>
        <d v="2024-11-24T00:00:00"/>
        <d v="2024-11-25T00:00:00"/>
        <d v="2023-03-02T00:00:00"/>
        <d v="2023-06-29T00:00:00"/>
        <d v="2024-09-26T00:00:00"/>
        <d v="2023-01-22T00:00:00"/>
        <d v="2024-05-29T00:00:00"/>
        <d v="2024-12-16T00:00:00"/>
        <d v="2024-11-28T00:00:00"/>
        <d v="2024-11-13T00:00:00"/>
        <d v="2024-07-26T00:00:00"/>
        <d v="2023-12-15T00:00:00"/>
        <d v="2024-07-18T00:00:00"/>
        <d v="2024-11-03T00:00:00"/>
        <d v="2023-08-12T00:00:00"/>
        <d v="2024-06-20T00:00:00"/>
        <d v="2023-11-02T00:00:00"/>
        <d v="2023-10-30T00:00:00"/>
        <d v="2024-09-25T00:00:00"/>
        <d v="2023-12-22T00:00:00"/>
        <d v="2024-07-31T00:00:00"/>
        <d v="2024-12-19T00:00:00"/>
        <d v="2023-09-26T00:00:00"/>
        <d v="2023-01-15T00:00:00"/>
        <d v="2024-06-01T00:00:00"/>
        <d v="2023-09-10T00:00:00"/>
        <d v="2023-03-26T00:00:00"/>
        <d v="2024-07-07T00:00:00"/>
        <d v="2024-12-30T00:00:00"/>
        <d v="2023-06-12T00:00:00"/>
        <d v="2023-08-25T00:00:00"/>
        <d v="2023-03-23T00:00:00"/>
        <d v="2024-08-12T00:00:00"/>
        <d v="2024-02-06T00:00:00"/>
        <d v="2024-03-12T00:00:00"/>
        <d v="2024-09-12T00:00:00"/>
        <d v="2024-07-13T00:00:00"/>
        <d v="2023-06-04T00:00:00"/>
        <d v="2023-05-09T00:00:00"/>
        <d v="2023-04-29T00:00:00"/>
        <d v="2023-09-27T00:00:00"/>
        <d v="2024-02-20T00:00:00"/>
        <d v="2023-01-10T00:00:00"/>
        <d v="2024-02-14T00:00:00"/>
        <d v="2023-08-11T00:00:00"/>
        <d v="2024-07-30T00:00:00"/>
        <d v="2023-06-27T00:00:00"/>
        <d v="2023-06-26T00:00:00"/>
        <d v="2023-01-26T00:00:00"/>
        <d v="2023-07-16T00:00:00"/>
        <d v="2023-03-06T00:00:00"/>
        <d v="2024-04-22T00:00:00"/>
        <d v="2024-01-31T00:00:00"/>
        <d v="2024-04-28T00:00:00"/>
        <d v="2024-10-25T00:00:00"/>
        <d v="2023-09-21T00:00:00"/>
        <d v="2024-12-01T00:00:00"/>
        <d v="2023-01-27T00:00:00"/>
        <d v="2023-09-08T00:00:00"/>
        <d v="2024-05-22T00:00:00"/>
        <d v="2024-12-03T00:00:00"/>
        <d v="2024-02-23T00:00:00"/>
        <d v="2024-10-17T00:00:00"/>
        <d v="2024-02-24T00:00:00"/>
        <d v="2024-10-31T00:00:00"/>
        <d v="2023-08-17T00:00:00"/>
        <d v="2023-02-25T00:00:00"/>
        <d v="2023-02-23T00:00:00"/>
        <d v="2024-02-18T00:00:00"/>
        <d v="2024-04-17T00:00:00"/>
        <d v="2024-06-15T00:00:00"/>
        <d v="2023-07-21T00:00:00"/>
        <d v="2023-11-26T00:00:00"/>
        <d v="2024-10-19T00:00:00"/>
        <d v="2024-03-16T00:00:00"/>
        <d v="2023-05-21T00:00:00"/>
        <d v="2024-04-14T00:00:00"/>
        <d v="2024-08-04T00:00:00"/>
        <d v="2023-06-10T00:00:00"/>
        <d v="2024-03-24T00:00:00"/>
        <d v="2024-01-24T00:00:00"/>
        <d v="2024-06-07T00:00:00"/>
        <d v="2024-05-03T00:00:00"/>
        <d v="2024-01-04T00:00:00"/>
        <d v="2023-01-13T00:00:00"/>
        <d v="2024-01-01T00:00:00"/>
        <d v="2023-05-03T00:00:00"/>
        <d v="2024-12-15T00:00:00"/>
        <d v="2023-09-11T00:00:00"/>
        <d v="2024-11-06T00:00:00"/>
        <d v="2023-12-27T00:00:00"/>
        <d v="2023-07-05T00:00:00"/>
        <d v="2023-11-16T00:00:00"/>
        <d v="2024-11-21T00:00:00"/>
        <d v="2024-10-05T00:00:00"/>
        <d v="2023-10-27T00:00:00"/>
        <d v="2024-06-13T00:00:00"/>
        <d v="2023-01-18T00:00:00"/>
        <d v="2024-04-20T00:00:00"/>
        <d v="2023-01-06T00:00:00"/>
        <d v="2023-07-06T00:00:00"/>
        <d v="2023-02-12T00:00:00"/>
        <d v="2023-09-07T00:00:00"/>
        <d v="2023-07-22T00:00:00"/>
        <d v="2023-07-08T00:00:00"/>
        <d v="2023-09-30T00:00:00"/>
        <d v="2024-11-20T00:00:00"/>
        <d v="2023-03-31T00:00:00"/>
        <d v="2024-07-04T00:00:00"/>
        <d v="2023-04-30T00:00:00"/>
        <d v="2024-07-20T00:00:00"/>
        <d v="2023-09-22T00:00:00"/>
        <d v="2023-07-10T00:00:00"/>
        <d v="2023-10-10T00:00:00"/>
        <d v="2024-11-05T00:00:00"/>
        <d v="2024-04-08T00:00:00"/>
        <d v="2023-12-25T00:00:00"/>
        <d v="2024-01-15T00:00:00"/>
        <d v="2023-06-16T00:00:00"/>
        <d v="2024-11-22T00:00:00"/>
        <d v="2024-09-07T00:00:00"/>
        <d v="2024-07-23T00:00:00"/>
        <d v="2023-07-23T00:00:00"/>
        <d v="2023-05-06T00:00:00"/>
        <d v="2024-04-09T00:00:00"/>
        <d v="2023-12-11T00:00:00"/>
        <d v="2024-10-30T00:00:00"/>
        <d v="2024-03-01T00:00:00"/>
        <d v="2024-06-23T00:00:00"/>
        <d v="2023-07-30T00:00:00"/>
        <d v="2023-09-23T00:00:00"/>
        <d v="2023-09-24T00:00:00"/>
        <d v="2023-07-07T00:00:00"/>
        <d v="2023-11-01T00:00:00"/>
        <d v="2024-03-28T00:00:00"/>
        <d v="2024-11-30T00:00:00"/>
        <d v="2024-11-29T00:00:00"/>
        <d v="2024-10-06T00:00:00"/>
        <d v="2024-10-11T00:00:00"/>
        <d v="2024-02-27T00:00:00"/>
        <d v="2023-12-13T00:00:00"/>
        <d v="2023-08-10T00:00:00"/>
        <d v="2024-02-29T00:00:00"/>
        <d v="2024-07-02T00:00:00"/>
        <d v="2024-05-25T00:00:00"/>
        <d v="2023-07-25T00:00:00"/>
        <d v="2024-01-06T00:00:00"/>
        <d v="2024-04-18T00:00:00"/>
        <d v="2024-01-27T00:00:00"/>
        <d v="2024-04-23T00:00:00"/>
        <d v="2024-05-23T00:00:00"/>
        <d v="2023-02-26T00:00:00"/>
        <d v="2023-03-08T00:00:00"/>
        <d v="2023-01-28T00:00:00"/>
        <d v="2024-10-15T00:00:00"/>
        <d v="2024-10-12T00:00:00"/>
        <d v="2023-08-20T00:00:00"/>
        <d v="2023-04-17T00:00:00"/>
        <d v="2024-01-13T00:00:00"/>
        <d v="2024-10-20T00:00:00"/>
        <d v="2024-01-26T00:00:00"/>
        <d v="2024-08-21T00:00:00"/>
        <d v="2023-03-17T00:00:00"/>
        <d v="2024-03-30T00:00:00"/>
        <d v="2024-04-03T00:00:00"/>
        <d v="2023-12-29T00:00:00"/>
        <d v="2024-07-27T00:00:00"/>
        <d v="2023-05-23T00:00:00"/>
        <d v="2024-08-01T00:00:00"/>
        <d v="2024-09-29T00:00:00"/>
        <d v="2023-05-25T00:00:00"/>
        <d v="2024-03-03T00:00:00"/>
        <d v="2024-09-13T00:00:00"/>
        <d v="2023-05-07T00:00:00"/>
        <d v="2023-12-18T00:00:00"/>
        <d v="2024-01-09T00:00:00"/>
        <d v="2023-12-07T00:00:00"/>
        <d v="2023-01-31T00:00:00"/>
        <d v="2024-07-06T00:00:00"/>
        <d v="2024-02-16T00:00:00"/>
        <d v="2024-07-14T00:00:00"/>
        <d v="2024-08-24T00:00:00"/>
        <d v="2023-08-16T00:00:00"/>
        <d v="2023-02-01T00:00:00"/>
        <d v="2023-10-21T00:00:00"/>
        <d v="2024-08-11T00:00:00"/>
        <d v="2023-05-02T00:00:00"/>
        <d v="2024-09-27T00:00:00"/>
        <d v="2024-01-10T00:00:00"/>
        <d v="2024-07-10T00:00:00"/>
        <d v="2023-01-16T00:00:00"/>
        <d v="2024-03-13T00:00:00"/>
        <d v="2023-07-29T00:00:00"/>
        <d v="2023-06-09T00:00:00"/>
        <d v="2023-10-12T00:00:00"/>
        <d v="2023-02-21T00:00:00"/>
        <d v="2023-03-22T00:00:00"/>
        <d v="2024-01-16T00:00:00"/>
        <d v="2024-05-04T00:00:00"/>
        <d v="2024-01-22T00:00:00"/>
        <d v="2024-03-10T00:00:00"/>
        <d v="2024-08-02T00:00:00"/>
        <d v="2024-05-21T00:00:00"/>
        <d v="2024-10-23T00:00:00"/>
        <d v="2023-06-19T00:00:00"/>
        <d v="2023-03-16T00:00:00"/>
        <d v="2023-01-08T00:00:00"/>
        <d v="2024-04-19T00:00:00"/>
        <d v="2023-06-21T00:00:00"/>
        <d v="2024-09-28T00:00:00"/>
        <d v="2024-03-26T00:00:00"/>
        <d v="2024-10-28T00:00:00"/>
        <d v="2024-10-08T00:00:00"/>
        <d v="2024-05-09T00:00:00"/>
        <d v="2023-07-04T00:00:00"/>
        <d v="2024-12-29T00:00:00"/>
        <d v="2023-10-04T00:00:00"/>
        <d v="2023-08-07T00:00:00"/>
        <d v="2024-09-20T00:00:00"/>
        <d v="2024-02-02T00:00:00"/>
        <d v="2024-04-15T00:00:00"/>
        <d v="2024-09-09T00:00:00"/>
        <d v="2023-10-11T00:00:00"/>
        <d v="2023-08-19T00:00:00"/>
        <d v="2023-01-21T00:00:00"/>
        <d v="2024-06-26T00:00:00"/>
        <d v="2023-01-09T00:00:00"/>
        <d v="2024-12-09T00:00:00"/>
        <d v="2024-12-17T00:00:00"/>
        <d v="2024-06-22T00:00:00"/>
        <d v="2024-05-28T00:00:00"/>
        <d v="2024-01-18T00:00:00"/>
        <d v="2024-01-29T00:00:00"/>
        <d v="2024-08-03T00:00:00"/>
        <d v="2024-12-06T00:00:00"/>
        <d v="2023-09-03T00:00:00"/>
        <d v="2023-10-31T00:00:00"/>
        <d v="2023-04-27T00:00:00"/>
        <d v="2024-03-07T00:00:00"/>
        <d v="2023-05-05T00:00:00"/>
        <d v="2023-02-02T00:00:00"/>
        <d v="2024-08-26T00:00:00"/>
        <d v="2024-12-04T00:00:00"/>
        <d v="2023-01-23T00:00:00"/>
        <d v="2024-07-08T00:00:00"/>
        <d v="2023-03-15T00:00:00"/>
        <d v="2023-07-20T00:00:00"/>
        <d v="2023-12-28T00:00:00"/>
        <d v="2024-01-20T00:00:00"/>
        <d v="2023-01-19T00:00:00"/>
        <d v="2023-05-15T00:00:00"/>
        <d v="2023-09-12T00:00:00"/>
        <d v="2023-12-30T00:00:00"/>
        <d v="2023-11-30T00:00:00"/>
        <d v="2024-06-28T00:00:00"/>
        <d v="2024-08-16T00:00:00"/>
        <d v="2023-05-14T00:00:00"/>
        <d v="2024-07-16T00:00:00"/>
        <d v="2023-09-25T00:00:00"/>
        <d v="2023-05-12T00:00:00"/>
        <d v="2023-11-05T00:00:00"/>
        <d v="2024-09-08T00:00:00"/>
        <d v="2023-06-08T00:00:00"/>
        <d v="2023-06-18T00:00:00"/>
        <d v="2023-09-28T00:00:00"/>
        <d v="2024-04-21T00:00:00"/>
        <d v="2024-02-03T00:00:00"/>
        <d v="2024-08-22T00:00:00"/>
        <d v="2023-01-24T00:00:00"/>
        <d v="2024-07-22T00:00:00"/>
        <d v="2024-12-27T00:00:00"/>
        <d v="2024-03-31T00:00:00"/>
        <d v="2024-02-22T00:00:00"/>
        <d v="2024-07-19T00:00:00"/>
        <d v="2023-03-27T00:00:00"/>
        <d v="2024-05-17T00:00:00"/>
        <d v="2023-02-06T00:00:00"/>
        <d v="2023-10-13T00:00:00"/>
        <d v="2024-09-17T00:00:00"/>
        <d v="2023-05-10T00:00:00"/>
        <d v="2023-09-06T00:00:00"/>
        <d v="2024-12-12T00:00:00"/>
        <d v="2023-11-20T00:00:00"/>
        <d v="2023-10-01T00:00:00"/>
        <d v="2023-04-07T00:00:00"/>
        <d v="2023-04-08T00:00:00"/>
        <d v="2024-03-19T00:00:00"/>
        <d v="2024-03-02T00:00:00"/>
        <d v="2023-10-23T00:00:00"/>
        <d v="2024-07-15T00:00:00"/>
        <d v="2024-07-28T00:00:00"/>
        <d v="2023-04-20T00:00:00"/>
        <d v="2023-09-01T00:00:00"/>
      </sharedItems>
      <fieldGroup base="6">
        <rangePr groupBy="months" startDate="2023-01-06T00:00:00" endDate="2024-12-31T00:00:00"/>
        <groupItems count="14">
          <s v="&lt;06-01-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-12-2024"/>
        </groupItems>
      </fieldGroup>
    </cacheField>
    <cacheField name="delivery_date" numFmtId="166">
      <sharedItems containsSemiMixedTypes="0" containsNonDate="0" containsDate="1" containsString="0" minDate="2023-01-11T00:00:00" maxDate="2025-01-04T00:00:00" count="361">
        <d v="2023-04-01T00:00:00"/>
        <d v="2023-09-03T00:00:00"/>
        <d v="2024-03-15T00:00:00"/>
        <d v="2024-10-19T00:00:00"/>
        <d v="2023-04-09T00:00:00"/>
        <d v="2023-07-04T00:00:00"/>
        <d v="2023-07-17T00:00:00"/>
        <d v="2023-05-20T00:00:00"/>
        <d v="2024-01-08T00:00:00"/>
        <d v="2024-08-17T00:00:00"/>
        <d v="2024-05-08T00:00:00"/>
        <d v="2024-02-16T00:00:00"/>
        <d v="2023-05-29T00:00:00"/>
        <d v="2024-01-12T00:00:00"/>
        <d v="2024-10-22T00:00:00"/>
        <d v="2023-04-27T00:00:00"/>
        <d v="2023-11-05T00:00:00"/>
        <d v="2024-06-08T00:00:00"/>
        <d v="2023-05-05T00:00:00"/>
        <d v="2024-10-28T00:00:00"/>
        <d v="2023-08-21T00:00:00"/>
        <d v="2025-01-02T00:00:00"/>
        <d v="2023-03-23T00:00:00"/>
        <d v="2023-12-13T00:00:00"/>
        <d v="2023-05-26T00:00:00"/>
        <d v="2024-06-25T00:00:00"/>
        <d v="2023-10-18T00:00:00"/>
        <d v="2023-12-01T00:00:00"/>
        <d v="2024-03-06T00:00:00"/>
        <d v="2023-04-15T00:00:00"/>
        <d v="2024-08-27T00:00:00"/>
        <d v="2023-01-13T00:00:00"/>
        <d v="2023-06-22T00:00:00"/>
        <d v="2023-09-21T00:00:00"/>
        <d v="2024-07-01T00:00:00"/>
        <d v="2024-12-26T00:00:00"/>
        <d v="2024-05-14T00:00:00"/>
        <d v="2023-03-05T00:00:00"/>
        <d v="2023-12-03T00:00:00"/>
        <d v="2023-01-31T00:00:00"/>
        <d v="2023-09-19T00:00:00"/>
        <d v="2024-07-02T00:00:00"/>
        <d v="2023-05-19T00:00:00"/>
        <d v="2023-11-17T00:00:00"/>
        <d v="2024-04-08T00:00:00"/>
        <d v="2024-02-19T00:00:00"/>
        <d v="2024-09-25T00:00:00"/>
        <d v="2023-07-03T00:00:00"/>
        <d v="2023-09-11T00:00:00"/>
        <d v="2023-02-04T00:00:00"/>
        <d v="2023-11-10T00:00:00"/>
        <d v="2023-06-29T00:00:00"/>
        <d v="2024-05-26T00:00:00"/>
        <d v="2024-01-14T00:00:00"/>
        <d v="2023-10-07T00:00:00"/>
        <d v="2024-05-04T00:00:00"/>
        <d v="2023-10-08T00:00:00"/>
        <d v="2023-10-22T00:00:00"/>
        <d v="2023-05-11T00:00:00"/>
        <d v="2023-11-08T00:00:00"/>
        <d v="2023-03-15T00:00:00"/>
        <d v="2024-01-10T00:00:00"/>
        <d v="2024-12-27T00:00:00"/>
        <d v="2024-03-11T00:00:00"/>
        <d v="2024-12-25T00:00:00"/>
        <d v="2023-03-09T00:00:00"/>
        <d v="2023-02-16T00:00:00"/>
        <d v="2024-01-06T00:00:00"/>
        <d v="2024-06-10T00:00:00"/>
        <d v="2024-11-26T00:00:00"/>
        <d v="2024-11-30T00:00:00"/>
        <d v="2024-04-28T00:00:00"/>
        <d v="2023-07-06T00:00:00"/>
        <d v="2024-10-01T00:00:00"/>
        <d v="2023-01-23T00:00:00"/>
        <d v="2024-06-01T00:00:00"/>
        <d v="2024-12-23T00:00:00"/>
        <d v="2024-12-04T00:00:00"/>
        <d v="2024-11-15T00:00:00"/>
        <d v="2024-08-02T00:00:00"/>
        <d v="2023-12-16T00:00:00"/>
        <d v="2024-07-25T00:00:00"/>
        <d v="2024-11-07T00:00:00"/>
        <d v="2023-08-14T00:00:00"/>
        <d v="2024-06-22T00:00:00"/>
        <d v="2023-11-07T00:00:00"/>
        <d v="2023-11-01T00:00:00"/>
        <d v="2024-09-26T00:00:00"/>
        <d v="2024-12-01T00:00:00"/>
        <d v="2023-12-23T00:00:00"/>
        <d v="2024-08-06T00:00:00"/>
        <d v="2024-12-21T00:00:00"/>
        <d v="2023-09-30T00:00:00"/>
        <d v="2023-01-21T00:00:00"/>
        <d v="2024-06-05T00:00:00"/>
        <d v="2023-09-16T00:00:00"/>
        <d v="2023-03-27T00:00:00"/>
        <d v="2024-07-08T00:00:00"/>
        <d v="2024-12-31T00:00:00"/>
        <d v="2023-06-13T00:00:00"/>
        <d v="2023-09-01T00:00:00"/>
        <d v="2023-03-28T00:00:00"/>
        <d v="2024-08-13T00:00:00"/>
        <d v="2024-02-11T00:00:00"/>
        <d v="2023-05-30T00:00:00"/>
        <d v="2024-03-13T00:00:00"/>
        <d v="2024-09-19T00:00:00"/>
        <d v="2024-07-14T00:00:00"/>
        <d v="2023-06-11T00:00:00"/>
        <d v="2024-08-14T00:00:00"/>
        <d v="2023-05-01T00:00:00"/>
        <d v="2023-09-28T00:00:00"/>
        <d v="2024-02-27T00:00:00"/>
        <d v="2023-01-12T00:00:00"/>
        <d v="2024-02-17T00:00:00"/>
        <d v="2023-08-17T00:00:00"/>
        <d v="2024-08-03T00:00:00"/>
        <d v="2024-07-04T00:00:00"/>
        <d v="2024-07-31T00:00:00"/>
        <d v="2023-01-30T00:00:00"/>
        <d v="2023-07-22T00:00:00"/>
        <d v="2024-02-18T00:00:00"/>
        <d v="2023-03-10T00:00:00"/>
        <d v="2024-04-25T00:00:00"/>
        <d v="2024-02-05T00:00:00"/>
        <d v="2024-05-02T00:00:00"/>
        <d v="2023-07-08T00:00:00"/>
        <d v="2024-08-30T00:00:00"/>
        <d v="2023-09-26T00:00:00"/>
        <d v="2024-12-08T00:00:00"/>
        <d v="2024-05-25T00:00:00"/>
        <d v="2024-12-07T00:00:00"/>
        <d v="2023-05-09T00:00:00"/>
        <d v="2024-02-26T00:00:00"/>
        <d v="2024-10-23T00:00:00"/>
        <d v="2024-03-01T00:00:00"/>
        <d v="2024-11-04T00:00:00"/>
        <d v="2023-03-25T00:00:00"/>
        <d v="2023-03-02T00:00:00"/>
        <d v="2023-02-26T00:00:00"/>
        <d v="2024-02-20T00:00:00"/>
        <d v="2024-04-23T00:00:00"/>
        <d v="2024-06-17T00:00:00"/>
        <d v="2023-08-18T00:00:00"/>
        <d v="2023-05-12T00:00:00"/>
        <d v="2023-12-02T00:00:00"/>
        <d v="2024-10-20T00:00:00"/>
        <d v="2024-03-21T00:00:00"/>
        <d v="2023-05-28T00:00:00"/>
        <d v="2024-04-21T00:00:00"/>
        <d v="2024-08-05T00:00:00"/>
        <d v="2024-03-29T00:00:00"/>
        <d v="2024-01-28T00:00:00"/>
        <d v="2024-06-14T00:00:00"/>
        <d v="2023-10-20T00:00:00"/>
        <d v="2024-05-06T00:00:00"/>
        <d v="2023-02-02T00:00:00"/>
        <d v="2024-01-09T00:00:00"/>
        <d v="2023-01-19T00:00:00"/>
        <d v="2023-05-04T00:00:00"/>
        <d v="2024-12-17T00:00:00"/>
        <d v="2023-09-18T00:00:00"/>
        <d v="2024-11-11T00:00:00"/>
        <d v="2023-12-30T00:00:00"/>
        <d v="2023-07-11T00:00:00"/>
        <d v="2023-11-19T00:00:00"/>
        <d v="2024-11-24T00:00:00"/>
        <d v="2024-10-08T00:00:00"/>
        <d v="2023-11-03T00:00:00"/>
        <d v="2024-06-20T00:00:00"/>
        <d v="2023-01-24T00:00:00"/>
        <d v="2024-04-24T00:00:00"/>
        <d v="2023-07-12T00:00:00"/>
        <d v="2024-12-06T00:00:00"/>
        <d v="2023-09-13T00:00:00"/>
        <d v="2023-07-20T00:00:00"/>
        <d v="2023-07-28T00:00:00"/>
        <d v="2023-07-10T00:00:00"/>
        <d v="2023-10-04T00:00:00"/>
        <d v="2024-11-25T00:00:00"/>
        <d v="2023-08-31T00:00:00"/>
        <d v="2023-09-27T00:00:00"/>
        <d v="2023-07-13T00:00:00"/>
        <d v="2023-10-15T00:00:00"/>
        <d v="2024-04-10T00:00:00"/>
        <d v="2024-12-28T00:00:00"/>
        <d v="2023-04-02T00:00:00"/>
        <d v="2023-12-31T00:00:00"/>
        <d v="2024-01-17T00:00:00"/>
        <d v="2023-06-23T00:00:00"/>
        <d v="2024-11-29T00:00:00"/>
        <d v="2024-09-12T00:00:00"/>
        <d v="2024-07-27T00:00:00"/>
        <d v="2023-07-27T00:00:00"/>
        <d v="2023-05-10T00:00:00"/>
        <d v="2024-04-11T00:00:00"/>
        <d v="2024-03-08T00:00:00"/>
        <d v="2024-06-29T00:00:00"/>
        <d v="2023-08-06T00:00:00"/>
        <d v="2023-10-01T00:00:00"/>
        <d v="2023-07-14T00:00:00"/>
        <d v="2023-02-05T00:00:00"/>
        <d v="2023-11-04T00:00:00"/>
        <d v="2024-03-30T00:00:00"/>
        <d v="2024-10-07T00:00:00"/>
        <d v="2023-02-06T00:00:00"/>
        <d v="2023-06-15T00:00:00"/>
        <d v="2024-10-14T00:00:00"/>
        <d v="2024-02-29T00:00:00"/>
        <d v="2023-12-18T00:00:00"/>
        <d v="2024-08-04T00:00:00"/>
        <d v="2024-03-02T00:00:00"/>
        <d v="2024-07-09T00:00:00"/>
        <d v="2023-07-31T00:00:00"/>
        <d v="2024-04-19T00:00:00"/>
        <d v="2024-01-30T00:00:00"/>
        <d v="2024-05-30T00:00:00"/>
        <d v="2023-03-01T00:00:00"/>
        <d v="2023-03-13T00:00:00"/>
        <d v="2024-10-18T00:00:00"/>
        <d v="2023-08-23T00:00:00"/>
        <d v="2023-04-22T00:00:00"/>
        <d v="2024-01-20T00:00:00"/>
        <d v="2024-11-12T00:00:00"/>
        <d v="2024-10-26T00:00:00"/>
        <d v="2024-02-01T00:00:00"/>
        <d v="2023-03-21T00:00:00"/>
        <d v="2024-04-06T00:00:00"/>
        <d v="2024-07-28T00:00:00"/>
        <d v="2024-12-19T00:00:00"/>
        <d v="2024-04-04T00:00:00"/>
        <d v="2024-01-02T00:00:00"/>
        <d v="2024-08-01T00:00:00"/>
        <d v="2023-05-27T00:00:00"/>
        <d v="2024-10-05T00:00:00"/>
        <d v="2024-01-11T00:00:00"/>
        <d v="2023-09-14T00:00:00"/>
        <d v="2024-09-20T00:00:00"/>
        <d v="2023-06-04T00:00:00"/>
        <d v="2023-12-21T00:00:00"/>
        <d v="2023-05-02T00:00:00"/>
        <d v="2023-12-10T00:00:00"/>
        <d v="2023-02-07T00:00:00"/>
        <d v="2024-01-13T00:00:00"/>
        <d v="2024-07-19T00:00:00"/>
        <d v="2024-08-31T00:00:00"/>
        <d v="2024-11-27T00:00:00"/>
        <d v="2023-07-23T00:00:00"/>
        <d v="2024-09-29T00:00:00"/>
        <d v="2024-07-13T00:00:00"/>
        <d v="2023-01-18T00:00:00"/>
        <d v="2024-03-19T00:00:00"/>
        <d v="2023-12-20T00:00:00"/>
        <d v="2023-08-03T00:00:00"/>
        <d v="2023-06-12T00:00:00"/>
        <d v="2023-02-24T00:00:00"/>
        <d v="2023-03-29T00:00:00"/>
        <d v="2023-12-19T00:00:00"/>
        <d v="2023-10-16T00:00:00"/>
        <d v="2024-01-27T00:00:00"/>
        <d v="2024-03-16T00:00:00"/>
        <d v="2024-08-07T00:00:00"/>
        <d v="2023-06-25T00:00:00"/>
        <d v="2023-03-22T00:00:00"/>
        <d v="2024-04-20T00:00:00"/>
        <d v="2023-06-26T00:00:00"/>
        <d v="2024-10-04T00:00:00"/>
        <d v="2024-12-29T00:00:00"/>
        <d v="2024-03-31T00:00:00"/>
        <d v="2024-10-09T00:00:00"/>
        <d v="2025-01-04T00:00:00"/>
        <d v="2023-08-08T00:00:00"/>
        <d v="2024-03-20T00:00:00"/>
        <d v="2024-11-23T00:00:00"/>
        <d v="2024-09-16T00:00:00"/>
        <d v="2024-09-23T00:00:00"/>
        <d v="2024-02-07T00:00:00"/>
        <d v="2024-04-17T00:00:00"/>
        <d v="2024-02-21T00:00:00"/>
        <d v="2024-09-13T00:00:00"/>
        <d v="2023-08-25T00:00:00"/>
        <d v="2024-10-21T00:00:00"/>
        <d v="2023-01-27T00:00:00"/>
        <d v="2023-01-16T00:00:00"/>
        <d v="2023-07-25T00:00:00"/>
        <d v="2023-07-02T00:00:00"/>
        <d v="2024-12-12T00:00:00"/>
        <d v="2024-12-18T00:00:00"/>
        <d v="2024-06-26T00:00:00"/>
        <d v="2024-06-03T00:00:00"/>
        <d v="2024-01-25T00:00:00"/>
        <d v="2024-02-03T00:00:00"/>
        <d v="2024-12-11T00:00:00"/>
        <d v="2023-09-09T00:00:00"/>
        <d v="2023-11-06T00:00:00"/>
        <d v="2023-04-30T00:00:00"/>
        <d v="2023-05-03T00:00:00"/>
        <d v="2023-05-06T00:00:00"/>
        <d v="2024-08-29T00:00:00"/>
        <d v="2024-12-09T00:00:00"/>
        <d v="2023-03-26T00:00:00"/>
        <d v="2023-07-26T00:00:00"/>
        <d v="2024-07-12T00:00:00"/>
        <d v="2023-04-18T00:00:00"/>
        <d v="2023-03-20T00:00:00"/>
        <d v="2023-12-29T00:00:00"/>
        <d v="2023-07-24T00:00:00"/>
        <d v="2024-08-16T00:00:00"/>
        <d v="2024-01-22T00:00:00"/>
        <d v="2023-01-20T00:00:00"/>
        <d v="2024-10-10T00:00:00"/>
        <d v="2023-05-16T00:00:00"/>
        <d v="2023-09-15T00:00:00"/>
        <d v="2024-01-05T00:00:00"/>
        <d v="2024-07-03T00:00:00"/>
        <d v="2023-01-11T00:00:00"/>
        <d v="2024-08-23T00:00:00"/>
        <d v="2023-05-15T00:00:00"/>
        <d v="2024-07-17T00:00:00"/>
        <d v="2023-08-13T00:00:00"/>
        <d v="2024-12-16T00:00:00"/>
        <d v="2024-09-30T00:00:00"/>
        <d v="2023-05-14T00:00:00"/>
        <d v="2023-02-23T00:00:00"/>
        <d v="2023-11-11T00:00:00"/>
        <d v="2023-09-29T00:00:00"/>
        <d v="2024-02-12T00:00:00"/>
        <d v="2024-10-15T00:00:00"/>
        <d v="2024-09-15T00:00:00"/>
        <d v="2024-02-06T00:00:00"/>
        <d v="2023-12-14T00:00:00"/>
        <d v="2024-09-09T00:00:00"/>
        <d v="2024-08-25T00:00:00"/>
        <d v="2023-01-26T00:00:00"/>
        <d v="2024-07-29T00:00:00"/>
        <d v="2025-01-03T00:00:00"/>
        <d v="2023-11-20T00:00:00"/>
        <d v="2024-06-27T00:00:00"/>
        <d v="2024-02-23T00:00:00"/>
        <d v="2024-05-01T00:00:00"/>
        <d v="2024-07-26T00:00:00"/>
        <d v="2024-05-23T00:00:00"/>
        <d v="2024-06-21T00:00:00"/>
        <d v="2023-09-07T00:00:00"/>
        <d v="2023-08-22T00:00:00"/>
        <d v="2024-04-29T00:00:00"/>
        <d v="2024-10-24T00:00:00"/>
        <d v="2023-11-27T00:00:00"/>
        <d v="2023-03-04T00:00:00"/>
        <d v="2024-07-11T00:00:00"/>
        <d v="2023-10-06T00:00:00"/>
        <d v="2023-04-08T00:00:00"/>
        <d v="2023-04-12T00:00:00"/>
        <d v="2023-08-01T00:00:00"/>
        <d v="2024-03-22T00:00:00"/>
        <d v="2024-03-09T00:00:00"/>
        <d v="2023-05-13T00:00:00"/>
        <d v="2023-10-30T00:00:00"/>
        <d v="2024-04-26T00:00:00"/>
        <d v="2023-04-23T00:00:00"/>
        <d v="2023-11-22T00:00:00"/>
      </sharedItems>
    </cacheField>
    <cacheField name="customer_type" numFmtId="0">
      <sharedItems count="3">
        <s v="Member"/>
        <s v="Regular"/>
        <s v="New"/>
      </sharedItems>
    </cacheField>
    <cacheField name="payment_mode" numFmtId="0">
      <sharedItems count="3">
        <s v="UPI"/>
        <s v="Card"/>
        <s v="Cash"/>
      </sharedItems>
    </cacheField>
    <cacheField name="profit" numFmtId="0">
      <sharedItems containsSemiMixedTypes="0" containsString="0" containsNumber="1" minValue="0" maxValue="1440.78" count="498">
        <n v="114.72"/>
        <n v="971.41"/>
        <n v="769.08"/>
        <n v="71.61"/>
        <n v="621.91999999999996"/>
        <n v="578.94000000000005"/>
        <n v="110.31"/>
        <n v="91.68"/>
        <n v="995.78"/>
        <n v="102.96"/>
        <n v="542.82000000000005"/>
        <n v="1028.47"/>
        <n v="131.5"/>
        <n v="255.49"/>
        <n v="804.36"/>
        <n v="284.91000000000003"/>
        <n v="504.83"/>
        <n v="978.07"/>
        <n v="260.95"/>
        <n v="727.29"/>
        <n v="798.81"/>
        <n v="920.22"/>
        <n v="931.37"/>
        <n v="375.7"/>
        <n v="1072.26"/>
        <n v="526.66"/>
        <n v="207.61"/>
        <n v="689.74"/>
        <n v="43.58"/>
        <n v="422.33"/>
        <n v="123.49"/>
        <n v="697.03"/>
        <n v="178.58"/>
        <n v="1002.97"/>
        <n v="320.43"/>
        <n v="177.84"/>
        <n v="528.38"/>
        <n v="586.69000000000005"/>
        <n v="742.22"/>
        <n v="119.91"/>
        <n v="392.57"/>
        <n v="765.08"/>
        <n v="48.54"/>
        <n v="235.05"/>
        <n v="129.80000000000001"/>
        <n v="588.79"/>
        <n v="127.89"/>
        <n v="249.34"/>
        <n v="1097.26"/>
        <n v="1139.21"/>
        <n v="433.9"/>
        <n v="687.58"/>
        <n v="114.25"/>
        <n v="20.43"/>
        <n v="237.01"/>
        <n v="278.48"/>
        <n v="356.81"/>
        <n v="581.75"/>
        <n v="1320.22"/>
        <n v="42.23"/>
        <n v="835.81"/>
        <n v="54.58"/>
        <n v="922.83"/>
        <n v="36.86"/>
        <n v="499.78"/>
        <n v="757.48"/>
        <n v="17.88"/>
        <n v="408.02"/>
        <n v="542.05999999999995"/>
        <n v="611.45000000000005"/>
        <n v="752"/>
        <n v="698.02"/>
        <n v="1229.3"/>
        <n v="800.39"/>
        <n v="163.35"/>
        <n v="743.22"/>
        <n v="1440.78"/>
        <n v="336.22"/>
        <n v="151.09"/>
        <n v="289.32"/>
        <n v="684.94"/>
        <n v="175.75"/>
        <n v="171.87"/>
        <n v="105.25"/>
        <n v="754.77"/>
        <n v="705.01"/>
        <n v="719.11"/>
        <n v="120.84"/>
        <n v="1281.0999999999999"/>
        <n v="203.17"/>
        <n v="1325.93"/>
        <n v="311.67"/>
        <n v="469.27"/>
        <n v="608.51"/>
        <n v="241.86"/>
        <n v="523.02"/>
        <n v="764.06"/>
        <n v="957.31"/>
        <n v="180.83"/>
        <n v="186.24"/>
        <n v="306.17"/>
        <n v="1077.1099999999999"/>
        <n v="666.98"/>
        <n v="777.62"/>
        <n v="483.88"/>
        <n v="587.57000000000005"/>
        <n v="660.08"/>
        <n v="1047.8699999999999"/>
        <n v="1092.43"/>
        <n v="604.07000000000005"/>
        <n v="1168.31"/>
        <n v="71.8"/>
        <n v="546.45000000000005"/>
        <n v="223.68"/>
        <n v="153.62"/>
        <n v="815.29"/>
        <n v="817.55"/>
        <n v="289.92"/>
        <n v="274.36"/>
        <n v="1022.41"/>
        <n v="558.65"/>
        <n v="40.409999999999997"/>
        <n v="1045.7"/>
        <n v="179.78"/>
        <n v="789.67"/>
        <n v="296.98"/>
        <n v="333.34"/>
        <n v="934.84"/>
        <n v="197.42"/>
        <n v="293.39999999999998"/>
        <n v="602.37"/>
        <n v="715.56"/>
        <n v="265.5"/>
        <n v="583.83000000000004"/>
        <n v="478.2"/>
        <n v="201.73"/>
        <n v="428.41"/>
        <n v="497.78"/>
        <n v="167.08"/>
        <n v="466.35"/>
        <n v="44.61"/>
        <n v="699.11"/>
        <n v="858.27"/>
        <n v="46.23"/>
        <n v="171.37"/>
        <n v="1201.33"/>
        <n v="609.51"/>
        <n v="248.9"/>
        <n v="394.17"/>
        <n v="1205.9000000000001"/>
        <n v="408.16"/>
        <n v="617.32000000000005"/>
        <n v="253.65"/>
        <n v="742.76"/>
        <n v="182.68"/>
        <n v="735.37"/>
        <n v="813.65"/>
        <n v="597.1"/>
        <n v="43.53"/>
        <n v="508.56"/>
        <n v="166.4"/>
        <n v="292.08"/>
        <n v="579.12"/>
        <n v="230.99"/>
        <n v="330.45"/>
        <n v="440.26"/>
        <n v="332.86"/>
        <n v="418.96"/>
        <n v="458.18"/>
        <n v="522.95000000000005"/>
        <n v="930.19"/>
        <n v="250.2"/>
        <n v="729.42"/>
        <n v="253.73"/>
        <n v="941.87"/>
        <n v="671.84"/>
        <n v="814"/>
        <n v="66.459999999999994"/>
        <n v="479.33"/>
        <n v="336.28"/>
        <n v="523.61"/>
        <n v="235.73"/>
        <n v="350.59"/>
        <n v="255.64"/>
        <n v="227.77"/>
        <n v="393.92"/>
        <n v="112.67"/>
        <n v="27.01"/>
        <n v="838.45"/>
        <n v="101.89"/>
        <n v="639.71"/>
        <n v="549.92999999999995"/>
        <n v="467.32"/>
        <n v="170.18"/>
        <n v="664.13"/>
        <n v="242.2"/>
        <n v="508.95"/>
        <n v="350.09"/>
        <n v="451.8"/>
        <n v="1195.98"/>
        <n v="235.46"/>
        <n v="432.87"/>
        <n v="1028.18"/>
        <n v="721"/>
        <n v="788.19"/>
        <n v="1095.22"/>
        <n v="121.08"/>
        <n v="47.74"/>
        <n v="70.55"/>
        <n v="970.91"/>
        <n v="478.55"/>
        <n v="133.02000000000001"/>
        <n v="161.16"/>
        <n v="774.75"/>
        <n v="77.209999999999994"/>
        <n v="21.73"/>
        <n v="509.07"/>
        <n v="369.28"/>
        <n v="110.39"/>
        <n v="700.49"/>
        <n v="909.46"/>
        <n v="930.63"/>
        <n v="270.37"/>
        <n v="740.19"/>
        <n v="385.44"/>
        <n v="150.44999999999999"/>
        <n v="706.04"/>
        <n v="394.98"/>
        <n v="385.71"/>
        <n v="244.12"/>
        <n v="682.33"/>
        <n v="1055.96"/>
        <n v="219.01"/>
        <n v="144.54"/>
        <n v="692.61"/>
        <n v="122.23"/>
        <n v="99.39"/>
        <n v="600.08000000000004"/>
        <n v="427.47"/>
        <n v="83.32"/>
        <n v="358.48"/>
        <n v="209.28"/>
        <n v="1090.8399999999999"/>
        <n v="124.78"/>
        <n v="627.83000000000004"/>
        <n v="656.86"/>
        <n v="710.07"/>
        <n v="374.36"/>
        <n v="214.85"/>
        <n v="675.38"/>
        <n v="906.63"/>
        <n v="974.82"/>
        <n v="268.47000000000003"/>
        <n v="179.9"/>
        <n v="51.66"/>
        <n v="330.56"/>
        <n v="1096.27"/>
        <n v="848.11"/>
        <n v="726.26"/>
        <n v="106.36"/>
        <n v="136.83000000000001"/>
        <n v="531.95000000000005"/>
        <n v="1235"/>
        <n v="405.21"/>
        <n v="276.95999999999998"/>
        <n v="72.98"/>
        <n v="55.65"/>
        <n v="520.04"/>
        <n v="705.97"/>
        <n v="369.04"/>
        <n v="696.38"/>
        <n v="344.8"/>
        <n v="399.72"/>
        <n v="627.20000000000005"/>
        <n v="139.74"/>
        <n v="1369.07"/>
        <n v="620.79"/>
        <n v="436.28"/>
        <n v="202.72"/>
        <n v="400.98"/>
        <n v="139.09"/>
        <n v="533.01"/>
        <n v="1118.01"/>
        <n v="580.76"/>
        <n v="362.96"/>
        <n v="289.24"/>
        <n v="749.57"/>
        <n v="262.82"/>
        <n v="367.39"/>
        <n v="709.19"/>
        <n v="442.59"/>
        <n v="154.19"/>
        <n v="753.91"/>
        <n v="324.74"/>
        <n v="351.13"/>
        <n v="263.39999999999998"/>
        <n v="519.6"/>
        <n v="1102.6300000000001"/>
        <n v="690.48"/>
        <n v="196.2"/>
        <n v="424.14"/>
        <n v="29.94"/>
        <n v="125.52"/>
        <n v="800.8"/>
        <n v="117.22"/>
        <n v="491.84"/>
        <n v="245.99"/>
        <n v="665.8"/>
        <n v="362.88"/>
        <n v="234"/>
        <n v="1033.49"/>
        <n v="116.61"/>
        <n v="309.11"/>
        <n v="237.24"/>
        <n v="108.85"/>
        <n v="24.31"/>
        <n v="762.19"/>
        <n v="468.81"/>
        <n v="102.29"/>
        <n v="697.79"/>
        <n v="226"/>
        <n v="126.14"/>
        <n v="761.11"/>
        <n v="159.93"/>
        <n v="797.25"/>
        <n v="117.23"/>
        <n v="100.03"/>
        <n v="653.86"/>
        <n v="1155.56"/>
        <n v="902.41"/>
        <n v="63.14"/>
        <n v="217.76"/>
        <n v="925.54"/>
        <n v="388.34"/>
        <n v="117.57"/>
        <n v="48.42"/>
        <n v="536.41999999999996"/>
        <n v="370.75"/>
        <n v="310.11"/>
        <n v="25.28"/>
        <n v="270.22000000000003"/>
        <n v="581.83000000000004"/>
        <n v="314.73"/>
        <n v="413.97"/>
        <n v="46.96"/>
        <n v="448.63"/>
        <n v="300.73"/>
        <n v="347.16"/>
        <n v="161.51"/>
        <n v="46.99"/>
        <n v="64.56"/>
        <n v="289"/>
        <n v="251.49"/>
        <n v="399.43"/>
        <n v="990.91"/>
        <n v="197.89"/>
        <n v="697.38"/>
        <n v="743.04"/>
        <n v="315.05"/>
        <n v="88.73"/>
        <n v="319.61"/>
        <n v="466.97"/>
        <n v="843.52"/>
        <n v="156.33000000000001"/>
        <n v="298.56"/>
        <n v="482.97"/>
        <n v="610.64"/>
        <n v="664.27"/>
        <n v="278.14999999999998"/>
        <n v="354.91"/>
        <n v="1039.42"/>
        <n v="318.77"/>
        <n v="455.08"/>
        <n v="116.53"/>
        <n v="181.06"/>
        <n v="736.04"/>
        <n v="119.18"/>
        <n v="635.94000000000005"/>
        <n v="200.91"/>
        <n v="363.37"/>
        <n v="477.12"/>
        <n v="944.78"/>
        <n v="96.16"/>
        <n v="274.62"/>
        <n v="268.52999999999997"/>
        <n v="223.02"/>
        <n v="234.09"/>
        <n v="190.23"/>
        <n v="666.29"/>
        <n v="233.82"/>
        <n v="447.64"/>
        <n v="632.89"/>
        <n v="513.26"/>
        <n v="431.14"/>
        <n v="275.87"/>
        <n v="547.59"/>
        <n v="367.48"/>
        <n v="66.31"/>
        <n v="653.08000000000004"/>
        <n v="484.92"/>
        <n v="476.38"/>
        <n v="339.95"/>
        <n v="620.73"/>
        <n v="300.44"/>
        <n v="138.59"/>
        <n v="398.59"/>
        <n v="658.39"/>
        <n v="240.4"/>
        <n v="160.11000000000001"/>
        <n v="1145.5"/>
        <n v="719.59"/>
        <n v="199.91"/>
        <n v="321.3"/>
        <n v="369.36"/>
        <n v="1318.47"/>
        <n v="954.08"/>
        <n v="124.67"/>
        <n v="1157.1600000000001"/>
        <n v="66.28"/>
        <n v="256.22000000000003"/>
        <n v="517.95000000000005"/>
        <n v="1006.56"/>
        <n v="689.37"/>
        <n v="654.1"/>
        <n v="84.32"/>
        <n v="1237.73"/>
        <n v="954.37"/>
        <n v="162.33000000000001"/>
        <n v="639.24"/>
        <n v="872.99"/>
        <n v="558.38"/>
        <n v="728.97"/>
        <n v="920.08"/>
        <n v="45.46"/>
        <n v="628.74"/>
        <n v="348.92"/>
        <n v="11.62"/>
        <n v="1202.19"/>
        <n v="411.68"/>
        <n v="225.89"/>
        <n v="302.62"/>
        <n v="887.13"/>
        <n v="715.35"/>
        <n v="416.16"/>
        <n v="380.04"/>
        <n v="537.94000000000005"/>
        <n v="426.36"/>
        <n v="446.02"/>
        <n v="387.87"/>
        <n v="77.650000000000006"/>
        <n v="428.31"/>
        <n v="79.13"/>
        <n v="115.42"/>
        <n v="150.09"/>
        <n v="387.72"/>
        <n v="482.71"/>
        <n v="1074.45"/>
        <n v="659.46"/>
        <n v="857.48"/>
        <n v="68.510000000000005"/>
        <n v="614.4"/>
        <n v="492.8"/>
        <n v="145.88999999999999"/>
        <n v="668.21"/>
        <n v="551.62"/>
        <n v="791.13"/>
        <n v="668.11"/>
        <n v="1246.55"/>
        <n v="36.9"/>
        <n v="53.78"/>
        <n v="397.26"/>
        <n v="109.12"/>
        <n v="545.08000000000004"/>
        <n v="512.98"/>
        <n v="921.96"/>
        <n v="191.82"/>
        <n v="57.92"/>
        <n v="523.78"/>
        <n v="485.96"/>
        <n v="149.71"/>
        <n v="226.6"/>
        <n v="778.64"/>
        <n v="336.04"/>
        <n v="74.44"/>
        <n v="317.56"/>
        <n v="731.64"/>
        <n v="344.48"/>
        <n v="270.99"/>
        <n v="1091.53"/>
        <n v="264.99"/>
        <n v="1058.17"/>
        <n v="99.89"/>
        <n v="840.81"/>
        <n v="764.68"/>
        <n v="460.15"/>
        <n v="220.52"/>
        <n v="80.92"/>
        <n v="343.75"/>
      </sharedItems>
    </cacheField>
    <cacheField name="city2" numFmtId="0">
      <sharedItems count="6">
        <s v="Bangalore"/>
        <s v="MUMBAI"/>
        <s v="Pune"/>
        <s v="hyderabad"/>
        <s v="Chennai"/>
        <s v="DELHI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98">
  <r>
    <x v="0"/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1"/>
    <x v="1"/>
  </r>
  <r>
    <x v="2"/>
    <x v="2"/>
    <x v="2"/>
    <x v="2"/>
    <x v="2"/>
    <x v="2"/>
    <x v="2"/>
    <x v="2"/>
    <x v="1"/>
    <x v="2"/>
    <x v="2"/>
    <x v="2"/>
  </r>
  <r>
    <x v="3"/>
    <x v="3"/>
    <x v="1"/>
    <x v="3"/>
    <x v="3"/>
    <x v="3"/>
    <x v="3"/>
    <x v="3"/>
    <x v="0"/>
    <x v="0"/>
    <x v="3"/>
    <x v="3"/>
  </r>
  <r>
    <x v="4"/>
    <x v="0"/>
    <x v="1"/>
    <x v="4"/>
    <x v="4"/>
    <x v="2"/>
    <x v="4"/>
    <x v="4"/>
    <x v="2"/>
    <x v="2"/>
    <x v="4"/>
    <x v="0"/>
  </r>
  <r>
    <x v="5"/>
    <x v="1"/>
    <x v="3"/>
    <x v="5"/>
    <x v="5"/>
    <x v="4"/>
    <x v="5"/>
    <x v="5"/>
    <x v="0"/>
    <x v="0"/>
    <x v="5"/>
    <x v="3"/>
  </r>
  <r>
    <x v="6"/>
    <x v="2"/>
    <x v="4"/>
    <x v="6"/>
    <x v="6"/>
    <x v="1"/>
    <x v="6"/>
    <x v="6"/>
    <x v="2"/>
    <x v="2"/>
    <x v="6"/>
    <x v="0"/>
  </r>
  <r>
    <x v="7"/>
    <x v="3"/>
    <x v="4"/>
    <x v="7"/>
    <x v="7"/>
    <x v="5"/>
    <x v="7"/>
    <x v="7"/>
    <x v="1"/>
    <x v="0"/>
    <x v="7"/>
    <x v="2"/>
  </r>
  <r>
    <x v="8"/>
    <x v="0"/>
    <x v="4"/>
    <x v="8"/>
    <x v="8"/>
    <x v="4"/>
    <x v="8"/>
    <x v="8"/>
    <x v="1"/>
    <x v="1"/>
    <x v="8"/>
    <x v="4"/>
  </r>
  <r>
    <x v="9"/>
    <x v="1"/>
    <x v="3"/>
    <x v="9"/>
    <x v="9"/>
    <x v="4"/>
    <x v="9"/>
    <x v="9"/>
    <x v="2"/>
    <x v="2"/>
    <x v="9"/>
    <x v="1"/>
  </r>
  <r>
    <x v="10"/>
    <x v="2"/>
    <x v="0"/>
    <x v="10"/>
    <x v="10"/>
    <x v="4"/>
    <x v="10"/>
    <x v="10"/>
    <x v="1"/>
    <x v="2"/>
    <x v="10"/>
    <x v="4"/>
  </r>
  <r>
    <x v="11"/>
    <x v="3"/>
    <x v="0"/>
    <x v="11"/>
    <x v="11"/>
    <x v="6"/>
    <x v="11"/>
    <x v="1"/>
    <x v="2"/>
    <x v="0"/>
    <x v="11"/>
    <x v="4"/>
  </r>
  <r>
    <x v="12"/>
    <x v="0"/>
    <x v="2"/>
    <x v="12"/>
    <x v="12"/>
    <x v="4"/>
    <x v="12"/>
    <x v="11"/>
    <x v="2"/>
    <x v="2"/>
    <x v="12"/>
    <x v="3"/>
  </r>
  <r>
    <x v="13"/>
    <x v="1"/>
    <x v="0"/>
    <x v="13"/>
    <x v="3"/>
    <x v="5"/>
    <x v="13"/>
    <x v="12"/>
    <x v="0"/>
    <x v="2"/>
    <x v="13"/>
    <x v="2"/>
  </r>
  <r>
    <x v="14"/>
    <x v="2"/>
    <x v="0"/>
    <x v="14"/>
    <x v="10"/>
    <x v="3"/>
    <x v="8"/>
    <x v="13"/>
    <x v="1"/>
    <x v="0"/>
    <x v="14"/>
    <x v="2"/>
  </r>
  <r>
    <x v="15"/>
    <x v="3"/>
    <x v="4"/>
    <x v="15"/>
    <x v="13"/>
    <x v="2"/>
    <x v="14"/>
    <x v="14"/>
    <x v="0"/>
    <x v="1"/>
    <x v="15"/>
    <x v="4"/>
  </r>
  <r>
    <x v="16"/>
    <x v="0"/>
    <x v="1"/>
    <x v="16"/>
    <x v="14"/>
    <x v="6"/>
    <x v="15"/>
    <x v="15"/>
    <x v="0"/>
    <x v="1"/>
    <x v="16"/>
    <x v="0"/>
  </r>
  <r>
    <x v="17"/>
    <x v="1"/>
    <x v="0"/>
    <x v="17"/>
    <x v="0"/>
    <x v="3"/>
    <x v="16"/>
    <x v="16"/>
    <x v="1"/>
    <x v="1"/>
    <x v="17"/>
    <x v="4"/>
  </r>
  <r>
    <x v="18"/>
    <x v="2"/>
    <x v="0"/>
    <x v="18"/>
    <x v="15"/>
    <x v="7"/>
    <x v="17"/>
    <x v="17"/>
    <x v="0"/>
    <x v="0"/>
    <x v="18"/>
    <x v="1"/>
  </r>
  <r>
    <x v="19"/>
    <x v="3"/>
    <x v="3"/>
    <x v="19"/>
    <x v="16"/>
    <x v="0"/>
    <x v="18"/>
    <x v="18"/>
    <x v="1"/>
    <x v="1"/>
    <x v="19"/>
    <x v="2"/>
  </r>
  <r>
    <x v="20"/>
    <x v="0"/>
    <x v="2"/>
    <x v="20"/>
    <x v="17"/>
    <x v="5"/>
    <x v="19"/>
    <x v="19"/>
    <x v="1"/>
    <x v="2"/>
    <x v="20"/>
    <x v="3"/>
  </r>
  <r>
    <x v="21"/>
    <x v="1"/>
    <x v="3"/>
    <x v="21"/>
    <x v="18"/>
    <x v="5"/>
    <x v="20"/>
    <x v="20"/>
    <x v="0"/>
    <x v="2"/>
    <x v="21"/>
    <x v="2"/>
  </r>
  <r>
    <x v="22"/>
    <x v="2"/>
    <x v="4"/>
    <x v="22"/>
    <x v="19"/>
    <x v="0"/>
    <x v="21"/>
    <x v="21"/>
    <x v="1"/>
    <x v="1"/>
    <x v="22"/>
    <x v="4"/>
  </r>
  <r>
    <x v="23"/>
    <x v="3"/>
    <x v="1"/>
    <x v="23"/>
    <x v="20"/>
    <x v="6"/>
    <x v="22"/>
    <x v="22"/>
    <x v="1"/>
    <x v="2"/>
    <x v="23"/>
    <x v="3"/>
  </r>
  <r>
    <x v="24"/>
    <x v="0"/>
    <x v="2"/>
    <x v="24"/>
    <x v="21"/>
    <x v="5"/>
    <x v="23"/>
    <x v="23"/>
    <x v="1"/>
    <x v="2"/>
    <x v="24"/>
    <x v="5"/>
  </r>
  <r>
    <x v="25"/>
    <x v="1"/>
    <x v="3"/>
    <x v="25"/>
    <x v="22"/>
    <x v="4"/>
    <x v="24"/>
    <x v="24"/>
    <x v="1"/>
    <x v="1"/>
    <x v="25"/>
    <x v="5"/>
  </r>
  <r>
    <x v="26"/>
    <x v="2"/>
    <x v="0"/>
    <x v="26"/>
    <x v="23"/>
    <x v="8"/>
    <x v="25"/>
    <x v="25"/>
    <x v="0"/>
    <x v="0"/>
    <x v="26"/>
    <x v="3"/>
  </r>
  <r>
    <x v="27"/>
    <x v="3"/>
    <x v="0"/>
    <x v="27"/>
    <x v="24"/>
    <x v="1"/>
    <x v="26"/>
    <x v="26"/>
    <x v="2"/>
    <x v="1"/>
    <x v="27"/>
    <x v="4"/>
  </r>
  <r>
    <x v="28"/>
    <x v="0"/>
    <x v="2"/>
    <x v="28"/>
    <x v="25"/>
    <x v="5"/>
    <x v="27"/>
    <x v="27"/>
    <x v="0"/>
    <x v="0"/>
    <x v="28"/>
    <x v="4"/>
  </r>
  <r>
    <x v="29"/>
    <x v="1"/>
    <x v="0"/>
    <x v="29"/>
    <x v="5"/>
    <x v="3"/>
    <x v="28"/>
    <x v="28"/>
    <x v="2"/>
    <x v="2"/>
    <x v="29"/>
    <x v="3"/>
  </r>
  <r>
    <x v="30"/>
    <x v="2"/>
    <x v="3"/>
    <x v="30"/>
    <x v="25"/>
    <x v="0"/>
    <x v="29"/>
    <x v="29"/>
    <x v="2"/>
    <x v="1"/>
    <x v="30"/>
    <x v="4"/>
  </r>
  <r>
    <x v="31"/>
    <x v="3"/>
    <x v="3"/>
    <x v="31"/>
    <x v="26"/>
    <x v="3"/>
    <x v="30"/>
    <x v="30"/>
    <x v="2"/>
    <x v="2"/>
    <x v="31"/>
    <x v="0"/>
  </r>
  <r>
    <x v="32"/>
    <x v="0"/>
    <x v="0"/>
    <x v="32"/>
    <x v="27"/>
    <x v="0"/>
    <x v="31"/>
    <x v="31"/>
    <x v="1"/>
    <x v="2"/>
    <x v="32"/>
    <x v="1"/>
  </r>
  <r>
    <x v="33"/>
    <x v="1"/>
    <x v="0"/>
    <x v="33"/>
    <x v="28"/>
    <x v="1"/>
    <x v="32"/>
    <x v="32"/>
    <x v="2"/>
    <x v="0"/>
    <x v="33"/>
    <x v="2"/>
  </r>
  <r>
    <x v="34"/>
    <x v="2"/>
    <x v="4"/>
    <x v="34"/>
    <x v="15"/>
    <x v="3"/>
    <x v="33"/>
    <x v="33"/>
    <x v="1"/>
    <x v="2"/>
    <x v="34"/>
    <x v="0"/>
  </r>
  <r>
    <x v="35"/>
    <x v="3"/>
    <x v="1"/>
    <x v="35"/>
    <x v="15"/>
    <x v="2"/>
    <x v="34"/>
    <x v="13"/>
    <x v="1"/>
    <x v="0"/>
    <x v="35"/>
    <x v="1"/>
  </r>
  <r>
    <x v="36"/>
    <x v="0"/>
    <x v="2"/>
    <x v="36"/>
    <x v="27"/>
    <x v="5"/>
    <x v="35"/>
    <x v="34"/>
    <x v="1"/>
    <x v="1"/>
    <x v="36"/>
    <x v="0"/>
  </r>
  <r>
    <x v="37"/>
    <x v="1"/>
    <x v="3"/>
    <x v="37"/>
    <x v="29"/>
    <x v="4"/>
    <x v="36"/>
    <x v="35"/>
    <x v="0"/>
    <x v="2"/>
    <x v="37"/>
    <x v="1"/>
  </r>
  <r>
    <x v="38"/>
    <x v="2"/>
    <x v="2"/>
    <x v="38"/>
    <x v="30"/>
    <x v="4"/>
    <x v="37"/>
    <x v="36"/>
    <x v="2"/>
    <x v="0"/>
    <x v="38"/>
    <x v="3"/>
  </r>
  <r>
    <x v="39"/>
    <x v="3"/>
    <x v="4"/>
    <x v="39"/>
    <x v="31"/>
    <x v="4"/>
    <x v="38"/>
    <x v="37"/>
    <x v="0"/>
    <x v="1"/>
    <x v="39"/>
    <x v="2"/>
  </r>
  <r>
    <x v="40"/>
    <x v="0"/>
    <x v="3"/>
    <x v="40"/>
    <x v="32"/>
    <x v="2"/>
    <x v="39"/>
    <x v="38"/>
    <x v="1"/>
    <x v="2"/>
    <x v="40"/>
    <x v="1"/>
  </r>
  <r>
    <x v="41"/>
    <x v="1"/>
    <x v="4"/>
    <x v="41"/>
    <x v="9"/>
    <x v="0"/>
    <x v="40"/>
    <x v="39"/>
    <x v="0"/>
    <x v="1"/>
    <x v="41"/>
    <x v="4"/>
  </r>
  <r>
    <x v="42"/>
    <x v="2"/>
    <x v="4"/>
    <x v="42"/>
    <x v="1"/>
    <x v="3"/>
    <x v="41"/>
    <x v="40"/>
    <x v="1"/>
    <x v="2"/>
    <x v="42"/>
    <x v="4"/>
  </r>
  <r>
    <x v="43"/>
    <x v="3"/>
    <x v="0"/>
    <x v="43"/>
    <x v="8"/>
    <x v="7"/>
    <x v="42"/>
    <x v="41"/>
    <x v="0"/>
    <x v="2"/>
    <x v="43"/>
    <x v="4"/>
  </r>
  <r>
    <x v="44"/>
    <x v="0"/>
    <x v="2"/>
    <x v="44"/>
    <x v="15"/>
    <x v="7"/>
    <x v="43"/>
    <x v="42"/>
    <x v="1"/>
    <x v="1"/>
    <x v="44"/>
    <x v="4"/>
  </r>
  <r>
    <x v="45"/>
    <x v="1"/>
    <x v="2"/>
    <x v="45"/>
    <x v="19"/>
    <x v="2"/>
    <x v="44"/>
    <x v="43"/>
    <x v="1"/>
    <x v="2"/>
    <x v="45"/>
    <x v="0"/>
  </r>
  <r>
    <x v="46"/>
    <x v="2"/>
    <x v="0"/>
    <x v="46"/>
    <x v="33"/>
    <x v="7"/>
    <x v="45"/>
    <x v="44"/>
    <x v="0"/>
    <x v="1"/>
    <x v="46"/>
    <x v="0"/>
  </r>
  <r>
    <x v="47"/>
    <x v="3"/>
    <x v="2"/>
    <x v="47"/>
    <x v="20"/>
    <x v="0"/>
    <x v="46"/>
    <x v="45"/>
    <x v="1"/>
    <x v="2"/>
    <x v="47"/>
    <x v="3"/>
  </r>
  <r>
    <x v="48"/>
    <x v="0"/>
    <x v="0"/>
    <x v="48"/>
    <x v="34"/>
    <x v="2"/>
    <x v="47"/>
    <x v="46"/>
    <x v="2"/>
    <x v="2"/>
    <x v="48"/>
    <x v="3"/>
  </r>
  <r>
    <x v="49"/>
    <x v="1"/>
    <x v="3"/>
    <x v="49"/>
    <x v="35"/>
    <x v="6"/>
    <x v="48"/>
    <x v="47"/>
    <x v="0"/>
    <x v="2"/>
    <x v="49"/>
    <x v="2"/>
  </r>
  <r>
    <x v="50"/>
    <x v="2"/>
    <x v="4"/>
    <x v="50"/>
    <x v="3"/>
    <x v="2"/>
    <x v="49"/>
    <x v="48"/>
    <x v="0"/>
    <x v="0"/>
    <x v="50"/>
    <x v="2"/>
  </r>
  <r>
    <x v="51"/>
    <x v="3"/>
    <x v="4"/>
    <x v="51"/>
    <x v="36"/>
    <x v="0"/>
    <x v="50"/>
    <x v="49"/>
    <x v="1"/>
    <x v="2"/>
    <x v="51"/>
    <x v="1"/>
  </r>
  <r>
    <x v="52"/>
    <x v="0"/>
    <x v="2"/>
    <x v="52"/>
    <x v="7"/>
    <x v="0"/>
    <x v="51"/>
    <x v="50"/>
    <x v="0"/>
    <x v="2"/>
    <x v="52"/>
    <x v="0"/>
  </r>
  <r>
    <x v="53"/>
    <x v="1"/>
    <x v="1"/>
    <x v="53"/>
    <x v="37"/>
    <x v="2"/>
    <x v="52"/>
    <x v="51"/>
    <x v="2"/>
    <x v="0"/>
    <x v="53"/>
    <x v="2"/>
  </r>
  <r>
    <x v="54"/>
    <x v="2"/>
    <x v="4"/>
    <x v="54"/>
    <x v="22"/>
    <x v="8"/>
    <x v="53"/>
    <x v="52"/>
    <x v="0"/>
    <x v="0"/>
    <x v="54"/>
    <x v="4"/>
  </r>
  <r>
    <x v="55"/>
    <x v="3"/>
    <x v="0"/>
    <x v="55"/>
    <x v="3"/>
    <x v="1"/>
    <x v="54"/>
    <x v="53"/>
    <x v="2"/>
    <x v="2"/>
    <x v="55"/>
    <x v="3"/>
  </r>
  <r>
    <x v="56"/>
    <x v="0"/>
    <x v="1"/>
    <x v="56"/>
    <x v="12"/>
    <x v="6"/>
    <x v="55"/>
    <x v="54"/>
    <x v="0"/>
    <x v="2"/>
    <x v="56"/>
    <x v="5"/>
  </r>
  <r>
    <x v="57"/>
    <x v="1"/>
    <x v="1"/>
    <x v="57"/>
    <x v="25"/>
    <x v="3"/>
    <x v="56"/>
    <x v="55"/>
    <x v="2"/>
    <x v="2"/>
    <x v="57"/>
    <x v="0"/>
  </r>
  <r>
    <x v="58"/>
    <x v="2"/>
    <x v="4"/>
    <x v="58"/>
    <x v="12"/>
    <x v="1"/>
    <x v="57"/>
    <x v="56"/>
    <x v="0"/>
    <x v="1"/>
    <x v="58"/>
    <x v="5"/>
  </r>
  <r>
    <x v="59"/>
    <x v="3"/>
    <x v="4"/>
    <x v="59"/>
    <x v="5"/>
    <x v="7"/>
    <x v="58"/>
    <x v="57"/>
    <x v="2"/>
    <x v="1"/>
    <x v="59"/>
    <x v="0"/>
  </r>
  <r>
    <x v="60"/>
    <x v="0"/>
    <x v="4"/>
    <x v="60"/>
    <x v="17"/>
    <x v="0"/>
    <x v="59"/>
    <x v="58"/>
    <x v="1"/>
    <x v="1"/>
    <x v="60"/>
    <x v="5"/>
  </r>
  <r>
    <x v="61"/>
    <x v="1"/>
    <x v="0"/>
    <x v="61"/>
    <x v="26"/>
    <x v="1"/>
    <x v="60"/>
    <x v="59"/>
    <x v="0"/>
    <x v="2"/>
    <x v="61"/>
    <x v="3"/>
  </r>
  <r>
    <x v="62"/>
    <x v="2"/>
    <x v="1"/>
    <x v="62"/>
    <x v="30"/>
    <x v="0"/>
    <x v="61"/>
    <x v="60"/>
    <x v="0"/>
    <x v="2"/>
    <x v="62"/>
    <x v="5"/>
  </r>
  <r>
    <x v="63"/>
    <x v="3"/>
    <x v="2"/>
    <x v="63"/>
    <x v="22"/>
    <x v="0"/>
    <x v="62"/>
    <x v="61"/>
    <x v="2"/>
    <x v="1"/>
    <x v="63"/>
    <x v="5"/>
  </r>
  <r>
    <x v="64"/>
    <x v="0"/>
    <x v="0"/>
    <x v="64"/>
    <x v="25"/>
    <x v="2"/>
    <x v="63"/>
    <x v="62"/>
    <x v="0"/>
    <x v="0"/>
    <x v="64"/>
    <x v="3"/>
  </r>
  <r>
    <x v="65"/>
    <x v="1"/>
    <x v="3"/>
    <x v="65"/>
    <x v="1"/>
    <x v="3"/>
    <x v="2"/>
    <x v="63"/>
    <x v="2"/>
    <x v="0"/>
    <x v="65"/>
    <x v="4"/>
  </r>
  <r>
    <x v="66"/>
    <x v="2"/>
    <x v="4"/>
    <x v="66"/>
    <x v="35"/>
    <x v="3"/>
    <x v="64"/>
    <x v="64"/>
    <x v="1"/>
    <x v="2"/>
    <x v="66"/>
    <x v="3"/>
  </r>
  <r>
    <x v="67"/>
    <x v="3"/>
    <x v="1"/>
    <x v="67"/>
    <x v="38"/>
    <x v="1"/>
    <x v="65"/>
    <x v="65"/>
    <x v="2"/>
    <x v="2"/>
    <x v="67"/>
    <x v="4"/>
  </r>
  <r>
    <x v="68"/>
    <x v="0"/>
    <x v="0"/>
    <x v="68"/>
    <x v="13"/>
    <x v="8"/>
    <x v="66"/>
    <x v="66"/>
    <x v="0"/>
    <x v="2"/>
    <x v="68"/>
    <x v="5"/>
  </r>
  <r>
    <x v="69"/>
    <x v="1"/>
    <x v="3"/>
    <x v="69"/>
    <x v="33"/>
    <x v="6"/>
    <x v="8"/>
    <x v="67"/>
    <x v="1"/>
    <x v="1"/>
    <x v="69"/>
    <x v="3"/>
  </r>
  <r>
    <x v="70"/>
    <x v="2"/>
    <x v="0"/>
    <x v="70"/>
    <x v="10"/>
    <x v="7"/>
    <x v="67"/>
    <x v="68"/>
    <x v="2"/>
    <x v="1"/>
    <x v="70"/>
    <x v="3"/>
  </r>
  <r>
    <x v="71"/>
    <x v="3"/>
    <x v="0"/>
    <x v="71"/>
    <x v="38"/>
    <x v="7"/>
    <x v="68"/>
    <x v="69"/>
    <x v="2"/>
    <x v="1"/>
    <x v="71"/>
    <x v="1"/>
  </r>
  <r>
    <x v="72"/>
    <x v="0"/>
    <x v="2"/>
    <x v="72"/>
    <x v="39"/>
    <x v="3"/>
    <x v="69"/>
    <x v="70"/>
    <x v="1"/>
    <x v="2"/>
    <x v="72"/>
    <x v="5"/>
  </r>
  <r>
    <x v="73"/>
    <x v="1"/>
    <x v="2"/>
    <x v="73"/>
    <x v="33"/>
    <x v="6"/>
    <x v="70"/>
    <x v="65"/>
    <x v="0"/>
    <x v="0"/>
    <x v="73"/>
    <x v="3"/>
  </r>
  <r>
    <x v="74"/>
    <x v="2"/>
    <x v="0"/>
    <x v="74"/>
    <x v="40"/>
    <x v="5"/>
    <x v="56"/>
    <x v="71"/>
    <x v="0"/>
    <x v="1"/>
    <x v="74"/>
    <x v="0"/>
  </r>
  <r>
    <x v="75"/>
    <x v="3"/>
    <x v="3"/>
    <x v="75"/>
    <x v="3"/>
    <x v="5"/>
    <x v="71"/>
    <x v="72"/>
    <x v="0"/>
    <x v="0"/>
    <x v="75"/>
    <x v="0"/>
  </r>
  <r>
    <x v="76"/>
    <x v="0"/>
    <x v="1"/>
    <x v="76"/>
    <x v="23"/>
    <x v="4"/>
    <x v="72"/>
    <x v="73"/>
    <x v="1"/>
    <x v="0"/>
    <x v="76"/>
    <x v="1"/>
  </r>
  <r>
    <x v="77"/>
    <x v="1"/>
    <x v="1"/>
    <x v="77"/>
    <x v="19"/>
    <x v="7"/>
    <x v="73"/>
    <x v="74"/>
    <x v="2"/>
    <x v="0"/>
    <x v="77"/>
    <x v="0"/>
  </r>
  <r>
    <x v="78"/>
    <x v="2"/>
    <x v="4"/>
    <x v="78"/>
    <x v="7"/>
    <x v="0"/>
    <x v="74"/>
    <x v="75"/>
    <x v="1"/>
    <x v="0"/>
    <x v="78"/>
    <x v="3"/>
  </r>
  <r>
    <x v="79"/>
    <x v="3"/>
    <x v="4"/>
    <x v="79"/>
    <x v="9"/>
    <x v="8"/>
    <x v="75"/>
    <x v="76"/>
    <x v="2"/>
    <x v="0"/>
    <x v="79"/>
    <x v="4"/>
  </r>
  <r>
    <x v="80"/>
    <x v="0"/>
    <x v="1"/>
    <x v="80"/>
    <x v="9"/>
    <x v="5"/>
    <x v="76"/>
    <x v="77"/>
    <x v="1"/>
    <x v="1"/>
    <x v="80"/>
    <x v="4"/>
  </r>
  <r>
    <x v="81"/>
    <x v="1"/>
    <x v="0"/>
    <x v="81"/>
    <x v="10"/>
    <x v="3"/>
    <x v="77"/>
    <x v="78"/>
    <x v="2"/>
    <x v="0"/>
    <x v="81"/>
    <x v="2"/>
  </r>
  <r>
    <x v="82"/>
    <x v="2"/>
    <x v="0"/>
    <x v="82"/>
    <x v="28"/>
    <x v="1"/>
    <x v="78"/>
    <x v="79"/>
    <x v="2"/>
    <x v="2"/>
    <x v="82"/>
    <x v="0"/>
  </r>
  <r>
    <x v="83"/>
    <x v="3"/>
    <x v="2"/>
    <x v="83"/>
    <x v="40"/>
    <x v="3"/>
    <x v="79"/>
    <x v="80"/>
    <x v="1"/>
    <x v="1"/>
    <x v="83"/>
    <x v="3"/>
  </r>
  <r>
    <x v="84"/>
    <x v="0"/>
    <x v="2"/>
    <x v="84"/>
    <x v="41"/>
    <x v="1"/>
    <x v="80"/>
    <x v="81"/>
    <x v="1"/>
    <x v="0"/>
    <x v="84"/>
    <x v="3"/>
  </r>
  <r>
    <x v="85"/>
    <x v="1"/>
    <x v="4"/>
    <x v="85"/>
    <x v="12"/>
    <x v="6"/>
    <x v="81"/>
    <x v="82"/>
    <x v="1"/>
    <x v="0"/>
    <x v="85"/>
    <x v="4"/>
  </r>
  <r>
    <x v="86"/>
    <x v="2"/>
    <x v="1"/>
    <x v="86"/>
    <x v="26"/>
    <x v="6"/>
    <x v="82"/>
    <x v="83"/>
    <x v="2"/>
    <x v="1"/>
    <x v="86"/>
    <x v="2"/>
  </r>
  <r>
    <x v="87"/>
    <x v="3"/>
    <x v="0"/>
    <x v="87"/>
    <x v="11"/>
    <x v="4"/>
    <x v="83"/>
    <x v="84"/>
    <x v="1"/>
    <x v="0"/>
    <x v="87"/>
    <x v="1"/>
  </r>
  <r>
    <x v="88"/>
    <x v="0"/>
    <x v="1"/>
    <x v="88"/>
    <x v="22"/>
    <x v="8"/>
    <x v="84"/>
    <x v="85"/>
    <x v="2"/>
    <x v="2"/>
    <x v="88"/>
    <x v="3"/>
  </r>
  <r>
    <x v="89"/>
    <x v="1"/>
    <x v="3"/>
    <x v="89"/>
    <x v="32"/>
    <x v="2"/>
    <x v="85"/>
    <x v="86"/>
    <x v="2"/>
    <x v="0"/>
    <x v="89"/>
    <x v="1"/>
  </r>
  <r>
    <x v="90"/>
    <x v="2"/>
    <x v="1"/>
    <x v="90"/>
    <x v="38"/>
    <x v="1"/>
    <x v="86"/>
    <x v="87"/>
    <x v="1"/>
    <x v="1"/>
    <x v="90"/>
    <x v="1"/>
  </r>
  <r>
    <x v="91"/>
    <x v="3"/>
    <x v="3"/>
    <x v="91"/>
    <x v="13"/>
    <x v="3"/>
    <x v="76"/>
    <x v="88"/>
    <x v="0"/>
    <x v="1"/>
    <x v="91"/>
    <x v="3"/>
  </r>
  <r>
    <x v="92"/>
    <x v="0"/>
    <x v="2"/>
    <x v="92"/>
    <x v="15"/>
    <x v="8"/>
    <x v="87"/>
    <x v="89"/>
    <x v="0"/>
    <x v="1"/>
    <x v="92"/>
    <x v="3"/>
  </r>
  <r>
    <x v="93"/>
    <x v="1"/>
    <x v="2"/>
    <x v="93"/>
    <x v="42"/>
    <x v="4"/>
    <x v="88"/>
    <x v="90"/>
    <x v="2"/>
    <x v="2"/>
    <x v="93"/>
    <x v="5"/>
  </r>
  <r>
    <x v="94"/>
    <x v="2"/>
    <x v="4"/>
    <x v="94"/>
    <x v="6"/>
    <x v="8"/>
    <x v="89"/>
    <x v="91"/>
    <x v="2"/>
    <x v="0"/>
    <x v="94"/>
    <x v="3"/>
  </r>
  <r>
    <x v="95"/>
    <x v="3"/>
    <x v="1"/>
    <x v="95"/>
    <x v="21"/>
    <x v="4"/>
    <x v="90"/>
    <x v="92"/>
    <x v="0"/>
    <x v="1"/>
    <x v="95"/>
    <x v="0"/>
  </r>
  <r>
    <x v="96"/>
    <x v="0"/>
    <x v="1"/>
    <x v="96"/>
    <x v="43"/>
    <x v="8"/>
    <x v="91"/>
    <x v="93"/>
    <x v="2"/>
    <x v="2"/>
    <x v="96"/>
    <x v="4"/>
  </r>
  <r>
    <x v="97"/>
    <x v="1"/>
    <x v="3"/>
    <x v="97"/>
    <x v="18"/>
    <x v="1"/>
    <x v="92"/>
    <x v="94"/>
    <x v="0"/>
    <x v="2"/>
    <x v="97"/>
    <x v="3"/>
  </r>
  <r>
    <x v="98"/>
    <x v="2"/>
    <x v="2"/>
    <x v="98"/>
    <x v="34"/>
    <x v="5"/>
    <x v="93"/>
    <x v="95"/>
    <x v="2"/>
    <x v="1"/>
    <x v="98"/>
    <x v="5"/>
  </r>
  <r>
    <x v="99"/>
    <x v="3"/>
    <x v="3"/>
    <x v="99"/>
    <x v="27"/>
    <x v="0"/>
    <x v="94"/>
    <x v="96"/>
    <x v="2"/>
    <x v="1"/>
    <x v="99"/>
    <x v="2"/>
  </r>
  <r>
    <x v="100"/>
    <x v="0"/>
    <x v="2"/>
    <x v="100"/>
    <x v="17"/>
    <x v="3"/>
    <x v="95"/>
    <x v="97"/>
    <x v="1"/>
    <x v="2"/>
    <x v="100"/>
    <x v="3"/>
  </r>
  <r>
    <x v="101"/>
    <x v="1"/>
    <x v="3"/>
    <x v="101"/>
    <x v="44"/>
    <x v="1"/>
    <x v="96"/>
    <x v="98"/>
    <x v="0"/>
    <x v="1"/>
    <x v="101"/>
    <x v="4"/>
  </r>
  <r>
    <x v="102"/>
    <x v="2"/>
    <x v="2"/>
    <x v="102"/>
    <x v="12"/>
    <x v="3"/>
    <x v="97"/>
    <x v="99"/>
    <x v="2"/>
    <x v="1"/>
    <x v="102"/>
    <x v="1"/>
  </r>
  <r>
    <x v="103"/>
    <x v="3"/>
    <x v="3"/>
    <x v="103"/>
    <x v="4"/>
    <x v="6"/>
    <x v="98"/>
    <x v="100"/>
    <x v="0"/>
    <x v="2"/>
    <x v="103"/>
    <x v="1"/>
  </r>
  <r>
    <x v="104"/>
    <x v="0"/>
    <x v="2"/>
    <x v="104"/>
    <x v="18"/>
    <x v="6"/>
    <x v="99"/>
    <x v="101"/>
    <x v="1"/>
    <x v="0"/>
    <x v="104"/>
    <x v="0"/>
  </r>
  <r>
    <x v="105"/>
    <x v="1"/>
    <x v="3"/>
    <x v="105"/>
    <x v="17"/>
    <x v="5"/>
    <x v="100"/>
    <x v="102"/>
    <x v="0"/>
    <x v="1"/>
    <x v="105"/>
    <x v="1"/>
  </r>
  <r>
    <x v="106"/>
    <x v="2"/>
    <x v="1"/>
    <x v="106"/>
    <x v="34"/>
    <x v="5"/>
    <x v="101"/>
    <x v="103"/>
    <x v="2"/>
    <x v="2"/>
    <x v="106"/>
    <x v="3"/>
  </r>
  <r>
    <x v="107"/>
    <x v="3"/>
    <x v="4"/>
    <x v="107"/>
    <x v="17"/>
    <x v="8"/>
    <x v="13"/>
    <x v="104"/>
    <x v="0"/>
    <x v="1"/>
    <x v="107"/>
    <x v="1"/>
  </r>
  <r>
    <x v="108"/>
    <x v="0"/>
    <x v="3"/>
    <x v="108"/>
    <x v="15"/>
    <x v="1"/>
    <x v="102"/>
    <x v="105"/>
    <x v="1"/>
    <x v="1"/>
    <x v="108"/>
    <x v="0"/>
  </r>
  <r>
    <x v="109"/>
    <x v="1"/>
    <x v="4"/>
    <x v="109"/>
    <x v="18"/>
    <x v="4"/>
    <x v="103"/>
    <x v="106"/>
    <x v="0"/>
    <x v="0"/>
    <x v="109"/>
    <x v="2"/>
  </r>
  <r>
    <x v="110"/>
    <x v="2"/>
    <x v="1"/>
    <x v="110"/>
    <x v="22"/>
    <x v="5"/>
    <x v="104"/>
    <x v="107"/>
    <x v="0"/>
    <x v="1"/>
    <x v="110"/>
    <x v="5"/>
  </r>
  <r>
    <x v="111"/>
    <x v="3"/>
    <x v="1"/>
    <x v="111"/>
    <x v="7"/>
    <x v="6"/>
    <x v="105"/>
    <x v="108"/>
    <x v="0"/>
    <x v="1"/>
    <x v="111"/>
    <x v="4"/>
  </r>
  <r>
    <x v="112"/>
    <x v="0"/>
    <x v="2"/>
    <x v="112"/>
    <x v="38"/>
    <x v="2"/>
    <x v="9"/>
    <x v="109"/>
    <x v="0"/>
    <x v="1"/>
    <x v="112"/>
    <x v="3"/>
  </r>
  <r>
    <x v="113"/>
    <x v="1"/>
    <x v="4"/>
    <x v="113"/>
    <x v="19"/>
    <x v="1"/>
    <x v="106"/>
    <x v="58"/>
    <x v="2"/>
    <x v="2"/>
    <x v="113"/>
    <x v="3"/>
  </r>
  <r>
    <x v="114"/>
    <x v="2"/>
    <x v="0"/>
    <x v="114"/>
    <x v="45"/>
    <x v="1"/>
    <x v="107"/>
    <x v="110"/>
    <x v="0"/>
    <x v="1"/>
    <x v="114"/>
    <x v="5"/>
  </r>
  <r>
    <x v="115"/>
    <x v="3"/>
    <x v="2"/>
    <x v="115"/>
    <x v="37"/>
    <x v="5"/>
    <x v="108"/>
    <x v="111"/>
    <x v="1"/>
    <x v="1"/>
    <x v="115"/>
    <x v="1"/>
  </r>
  <r>
    <x v="116"/>
    <x v="0"/>
    <x v="4"/>
    <x v="116"/>
    <x v="18"/>
    <x v="7"/>
    <x v="109"/>
    <x v="112"/>
    <x v="0"/>
    <x v="2"/>
    <x v="116"/>
    <x v="0"/>
  </r>
  <r>
    <x v="117"/>
    <x v="1"/>
    <x v="3"/>
    <x v="117"/>
    <x v="46"/>
    <x v="5"/>
    <x v="110"/>
    <x v="113"/>
    <x v="1"/>
    <x v="1"/>
    <x v="117"/>
    <x v="0"/>
  </r>
  <r>
    <x v="118"/>
    <x v="2"/>
    <x v="3"/>
    <x v="118"/>
    <x v="12"/>
    <x v="3"/>
    <x v="111"/>
    <x v="114"/>
    <x v="1"/>
    <x v="1"/>
    <x v="118"/>
    <x v="4"/>
  </r>
  <r>
    <x v="119"/>
    <x v="3"/>
    <x v="1"/>
    <x v="119"/>
    <x v="13"/>
    <x v="4"/>
    <x v="112"/>
    <x v="115"/>
    <x v="1"/>
    <x v="1"/>
    <x v="119"/>
    <x v="1"/>
  </r>
  <r>
    <x v="120"/>
    <x v="0"/>
    <x v="0"/>
    <x v="120"/>
    <x v="4"/>
    <x v="0"/>
    <x v="113"/>
    <x v="116"/>
    <x v="1"/>
    <x v="0"/>
    <x v="120"/>
    <x v="0"/>
  </r>
  <r>
    <x v="121"/>
    <x v="1"/>
    <x v="3"/>
    <x v="121"/>
    <x v="45"/>
    <x v="0"/>
    <x v="114"/>
    <x v="51"/>
    <x v="2"/>
    <x v="2"/>
    <x v="121"/>
    <x v="1"/>
  </r>
  <r>
    <x v="122"/>
    <x v="2"/>
    <x v="4"/>
    <x v="122"/>
    <x v="38"/>
    <x v="4"/>
    <x v="115"/>
    <x v="51"/>
    <x v="0"/>
    <x v="2"/>
    <x v="122"/>
    <x v="2"/>
  </r>
  <r>
    <x v="123"/>
    <x v="3"/>
    <x v="4"/>
    <x v="123"/>
    <x v="1"/>
    <x v="3"/>
    <x v="35"/>
    <x v="117"/>
    <x v="0"/>
    <x v="2"/>
    <x v="123"/>
    <x v="3"/>
  </r>
  <r>
    <x v="124"/>
    <x v="0"/>
    <x v="3"/>
    <x v="124"/>
    <x v="44"/>
    <x v="3"/>
    <x v="113"/>
    <x v="118"/>
    <x v="2"/>
    <x v="0"/>
    <x v="124"/>
    <x v="3"/>
  </r>
  <r>
    <x v="125"/>
    <x v="1"/>
    <x v="4"/>
    <x v="125"/>
    <x v="41"/>
    <x v="3"/>
    <x v="116"/>
    <x v="119"/>
    <x v="0"/>
    <x v="2"/>
    <x v="125"/>
    <x v="4"/>
  </r>
  <r>
    <x v="126"/>
    <x v="2"/>
    <x v="4"/>
    <x v="126"/>
    <x v="29"/>
    <x v="7"/>
    <x v="117"/>
    <x v="120"/>
    <x v="2"/>
    <x v="2"/>
    <x v="126"/>
    <x v="1"/>
  </r>
  <r>
    <x v="127"/>
    <x v="3"/>
    <x v="1"/>
    <x v="127"/>
    <x v="32"/>
    <x v="8"/>
    <x v="111"/>
    <x v="121"/>
    <x v="1"/>
    <x v="2"/>
    <x v="127"/>
    <x v="2"/>
  </r>
  <r>
    <x v="128"/>
    <x v="0"/>
    <x v="0"/>
    <x v="128"/>
    <x v="14"/>
    <x v="1"/>
    <x v="118"/>
    <x v="122"/>
    <x v="0"/>
    <x v="1"/>
    <x v="128"/>
    <x v="2"/>
  </r>
  <r>
    <x v="129"/>
    <x v="1"/>
    <x v="1"/>
    <x v="129"/>
    <x v="3"/>
    <x v="4"/>
    <x v="119"/>
    <x v="123"/>
    <x v="1"/>
    <x v="0"/>
    <x v="129"/>
    <x v="0"/>
  </r>
  <r>
    <x v="130"/>
    <x v="2"/>
    <x v="0"/>
    <x v="130"/>
    <x v="47"/>
    <x v="3"/>
    <x v="120"/>
    <x v="124"/>
    <x v="0"/>
    <x v="1"/>
    <x v="130"/>
    <x v="3"/>
  </r>
  <r>
    <x v="131"/>
    <x v="3"/>
    <x v="4"/>
    <x v="131"/>
    <x v="23"/>
    <x v="4"/>
    <x v="121"/>
    <x v="125"/>
    <x v="0"/>
    <x v="2"/>
    <x v="131"/>
    <x v="4"/>
  </r>
  <r>
    <x v="132"/>
    <x v="0"/>
    <x v="0"/>
    <x v="132"/>
    <x v="4"/>
    <x v="8"/>
    <x v="122"/>
    <x v="19"/>
    <x v="0"/>
    <x v="1"/>
    <x v="132"/>
    <x v="0"/>
  </r>
  <r>
    <x v="133"/>
    <x v="1"/>
    <x v="4"/>
    <x v="133"/>
    <x v="47"/>
    <x v="4"/>
    <x v="48"/>
    <x v="126"/>
    <x v="1"/>
    <x v="2"/>
    <x v="133"/>
    <x v="0"/>
  </r>
  <r>
    <x v="134"/>
    <x v="2"/>
    <x v="4"/>
    <x v="134"/>
    <x v="40"/>
    <x v="4"/>
    <x v="30"/>
    <x v="127"/>
    <x v="2"/>
    <x v="1"/>
    <x v="134"/>
    <x v="4"/>
  </r>
  <r>
    <x v="135"/>
    <x v="3"/>
    <x v="1"/>
    <x v="135"/>
    <x v="3"/>
    <x v="5"/>
    <x v="123"/>
    <x v="128"/>
    <x v="1"/>
    <x v="1"/>
    <x v="135"/>
    <x v="4"/>
  </r>
  <r>
    <x v="136"/>
    <x v="0"/>
    <x v="1"/>
    <x v="136"/>
    <x v="10"/>
    <x v="2"/>
    <x v="124"/>
    <x v="129"/>
    <x v="2"/>
    <x v="0"/>
    <x v="136"/>
    <x v="2"/>
  </r>
  <r>
    <x v="137"/>
    <x v="1"/>
    <x v="2"/>
    <x v="137"/>
    <x v="17"/>
    <x v="0"/>
    <x v="125"/>
    <x v="119"/>
    <x v="0"/>
    <x v="2"/>
    <x v="137"/>
    <x v="2"/>
  </r>
  <r>
    <x v="138"/>
    <x v="2"/>
    <x v="3"/>
    <x v="138"/>
    <x v="3"/>
    <x v="2"/>
    <x v="126"/>
    <x v="48"/>
    <x v="0"/>
    <x v="0"/>
    <x v="138"/>
    <x v="2"/>
  </r>
  <r>
    <x v="139"/>
    <x v="3"/>
    <x v="2"/>
    <x v="139"/>
    <x v="2"/>
    <x v="3"/>
    <x v="127"/>
    <x v="130"/>
    <x v="0"/>
    <x v="2"/>
    <x v="139"/>
    <x v="0"/>
  </r>
  <r>
    <x v="140"/>
    <x v="0"/>
    <x v="2"/>
    <x v="140"/>
    <x v="26"/>
    <x v="1"/>
    <x v="128"/>
    <x v="131"/>
    <x v="0"/>
    <x v="2"/>
    <x v="140"/>
    <x v="5"/>
  </r>
  <r>
    <x v="141"/>
    <x v="1"/>
    <x v="0"/>
    <x v="141"/>
    <x v="35"/>
    <x v="6"/>
    <x v="59"/>
    <x v="132"/>
    <x v="1"/>
    <x v="2"/>
    <x v="141"/>
    <x v="4"/>
  </r>
  <r>
    <x v="142"/>
    <x v="2"/>
    <x v="4"/>
    <x v="142"/>
    <x v="35"/>
    <x v="8"/>
    <x v="109"/>
    <x v="133"/>
    <x v="2"/>
    <x v="1"/>
    <x v="142"/>
    <x v="5"/>
  </r>
  <r>
    <x v="143"/>
    <x v="3"/>
    <x v="4"/>
    <x v="143"/>
    <x v="6"/>
    <x v="5"/>
    <x v="129"/>
    <x v="112"/>
    <x v="2"/>
    <x v="0"/>
    <x v="143"/>
    <x v="2"/>
  </r>
  <r>
    <x v="144"/>
    <x v="0"/>
    <x v="4"/>
    <x v="144"/>
    <x v="48"/>
    <x v="8"/>
    <x v="130"/>
    <x v="134"/>
    <x v="2"/>
    <x v="2"/>
    <x v="144"/>
    <x v="2"/>
  </r>
  <r>
    <x v="145"/>
    <x v="1"/>
    <x v="3"/>
    <x v="145"/>
    <x v="46"/>
    <x v="2"/>
    <x v="131"/>
    <x v="135"/>
    <x v="0"/>
    <x v="2"/>
    <x v="145"/>
    <x v="2"/>
  </r>
  <r>
    <x v="146"/>
    <x v="2"/>
    <x v="0"/>
    <x v="146"/>
    <x v="8"/>
    <x v="0"/>
    <x v="132"/>
    <x v="136"/>
    <x v="1"/>
    <x v="1"/>
    <x v="146"/>
    <x v="2"/>
  </r>
  <r>
    <x v="147"/>
    <x v="3"/>
    <x v="0"/>
    <x v="147"/>
    <x v="7"/>
    <x v="2"/>
    <x v="133"/>
    <x v="20"/>
    <x v="0"/>
    <x v="2"/>
    <x v="147"/>
    <x v="0"/>
  </r>
  <r>
    <x v="148"/>
    <x v="0"/>
    <x v="4"/>
    <x v="148"/>
    <x v="5"/>
    <x v="6"/>
    <x v="35"/>
    <x v="34"/>
    <x v="2"/>
    <x v="2"/>
    <x v="148"/>
    <x v="4"/>
  </r>
  <r>
    <x v="149"/>
    <x v="1"/>
    <x v="2"/>
    <x v="149"/>
    <x v="25"/>
    <x v="3"/>
    <x v="22"/>
    <x v="137"/>
    <x v="1"/>
    <x v="1"/>
    <x v="149"/>
    <x v="2"/>
  </r>
  <r>
    <x v="150"/>
    <x v="2"/>
    <x v="3"/>
    <x v="150"/>
    <x v="41"/>
    <x v="5"/>
    <x v="134"/>
    <x v="138"/>
    <x v="1"/>
    <x v="1"/>
    <x v="150"/>
    <x v="0"/>
  </r>
  <r>
    <x v="151"/>
    <x v="3"/>
    <x v="2"/>
    <x v="151"/>
    <x v="31"/>
    <x v="5"/>
    <x v="135"/>
    <x v="139"/>
    <x v="0"/>
    <x v="1"/>
    <x v="151"/>
    <x v="4"/>
  </r>
  <r>
    <x v="152"/>
    <x v="0"/>
    <x v="1"/>
    <x v="152"/>
    <x v="14"/>
    <x v="0"/>
    <x v="136"/>
    <x v="140"/>
    <x v="1"/>
    <x v="0"/>
    <x v="152"/>
    <x v="4"/>
  </r>
  <r>
    <x v="153"/>
    <x v="1"/>
    <x v="0"/>
    <x v="153"/>
    <x v="17"/>
    <x v="2"/>
    <x v="137"/>
    <x v="141"/>
    <x v="1"/>
    <x v="0"/>
    <x v="153"/>
    <x v="0"/>
  </r>
  <r>
    <x v="154"/>
    <x v="2"/>
    <x v="0"/>
    <x v="154"/>
    <x v="22"/>
    <x v="5"/>
    <x v="138"/>
    <x v="142"/>
    <x v="1"/>
    <x v="0"/>
    <x v="154"/>
    <x v="0"/>
  </r>
  <r>
    <x v="155"/>
    <x v="3"/>
    <x v="2"/>
    <x v="155"/>
    <x v="0"/>
    <x v="1"/>
    <x v="139"/>
    <x v="120"/>
    <x v="0"/>
    <x v="2"/>
    <x v="155"/>
    <x v="1"/>
  </r>
  <r>
    <x v="156"/>
    <x v="0"/>
    <x v="3"/>
    <x v="156"/>
    <x v="46"/>
    <x v="1"/>
    <x v="112"/>
    <x v="143"/>
    <x v="0"/>
    <x v="0"/>
    <x v="156"/>
    <x v="4"/>
  </r>
  <r>
    <x v="157"/>
    <x v="1"/>
    <x v="0"/>
    <x v="157"/>
    <x v="12"/>
    <x v="6"/>
    <x v="106"/>
    <x v="144"/>
    <x v="1"/>
    <x v="2"/>
    <x v="157"/>
    <x v="1"/>
  </r>
  <r>
    <x v="158"/>
    <x v="2"/>
    <x v="2"/>
    <x v="158"/>
    <x v="16"/>
    <x v="2"/>
    <x v="140"/>
    <x v="145"/>
    <x v="0"/>
    <x v="0"/>
    <x v="158"/>
    <x v="1"/>
  </r>
  <r>
    <x v="159"/>
    <x v="3"/>
    <x v="3"/>
    <x v="159"/>
    <x v="13"/>
    <x v="1"/>
    <x v="141"/>
    <x v="146"/>
    <x v="1"/>
    <x v="2"/>
    <x v="159"/>
    <x v="2"/>
  </r>
  <r>
    <x v="160"/>
    <x v="0"/>
    <x v="2"/>
    <x v="160"/>
    <x v="29"/>
    <x v="6"/>
    <x v="142"/>
    <x v="147"/>
    <x v="2"/>
    <x v="2"/>
    <x v="160"/>
    <x v="3"/>
  </r>
  <r>
    <x v="161"/>
    <x v="1"/>
    <x v="3"/>
    <x v="161"/>
    <x v="34"/>
    <x v="0"/>
    <x v="59"/>
    <x v="144"/>
    <x v="2"/>
    <x v="1"/>
    <x v="161"/>
    <x v="3"/>
  </r>
  <r>
    <x v="162"/>
    <x v="2"/>
    <x v="4"/>
    <x v="162"/>
    <x v="10"/>
    <x v="8"/>
    <x v="143"/>
    <x v="148"/>
    <x v="1"/>
    <x v="0"/>
    <x v="162"/>
    <x v="4"/>
  </r>
  <r>
    <x v="163"/>
    <x v="3"/>
    <x v="3"/>
    <x v="163"/>
    <x v="10"/>
    <x v="1"/>
    <x v="144"/>
    <x v="149"/>
    <x v="2"/>
    <x v="1"/>
    <x v="163"/>
    <x v="3"/>
  </r>
  <r>
    <x v="164"/>
    <x v="0"/>
    <x v="1"/>
    <x v="164"/>
    <x v="37"/>
    <x v="6"/>
    <x v="145"/>
    <x v="150"/>
    <x v="2"/>
    <x v="2"/>
    <x v="164"/>
    <x v="5"/>
  </r>
  <r>
    <x v="165"/>
    <x v="1"/>
    <x v="4"/>
    <x v="165"/>
    <x v="46"/>
    <x v="2"/>
    <x v="146"/>
    <x v="108"/>
    <x v="2"/>
    <x v="2"/>
    <x v="165"/>
    <x v="4"/>
  </r>
  <r>
    <x v="166"/>
    <x v="2"/>
    <x v="2"/>
    <x v="166"/>
    <x v="15"/>
    <x v="8"/>
    <x v="147"/>
    <x v="151"/>
    <x v="1"/>
    <x v="0"/>
    <x v="166"/>
    <x v="1"/>
  </r>
  <r>
    <x v="167"/>
    <x v="3"/>
    <x v="4"/>
    <x v="167"/>
    <x v="18"/>
    <x v="3"/>
    <x v="74"/>
    <x v="75"/>
    <x v="0"/>
    <x v="2"/>
    <x v="167"/>
    <x v="4"/>
  </r>
  <r>
    <x v="168"/>
    <x v="0"/>
    <x v="4"/>
    <x v="168"/>
    <x v="20"/>
    <x v="7"/>
    <x v="148"/>
    <x v="152"/>
    <x v="1"/>
    <x v="0"/>
    <x v="168"/>
    <x v="1"/>
  </r>
  <r>
    <x v="169"/>
    <x v="1"/>
    <x v="2"/>
    <x v="169"/>
    <x v="10"/>
    <x v="2"/>
    <x v="149"/>
    <x v="153"/>
    <x v="1"/>
    <x v="0"/>
    <x v="169"/>
    <x v="1"/>
  </r>
  <r>
    <x v="170"/>
    <x v="2"/>
    <x v="2"/>
    <x v="170"/>
    <x v="42"/>
    <x v="1"/>
    <x v="26"/>
    <x v="154"/>
    <x v="0"/>
    <x v="0"/>
    <x v="170"/>
    <x v="4"/>
  </r>
  <r>
    <x v="171"/>
    <x v="3"/>
    <x v="1"/>
    <x v="171"/>
    <x v="8"/>
    <x v="7"/>
    <x v="150"/>
    <x v="155"/>
    <x v="1"/>
    <x v="1"/>
    <x v="171"/>
    <x v="2"/>
  </r>
  <r>
    <x v="172"/>
    <x v="0"/>
    <x v="2"/>
    <x v="172"/>
    <x v="20"/>
    <x v="4"/>
    <x v="125"/>
    <x v="156"/>
    <x v="1"/>
    <x v="0"/>
    <x v="172"/>
    <x v="0"/>
  </r>
  <r>
    <x v="173"/>
    <x v="1"/>
    <x v="0"/>
    <x v="173"/>
    <x v="28"/>
    <x v="8"/>
    <x v="151"/>
    <x v="157"/>
    <x v="1"/>
    <x v="0"/>
    <x v="173"/>
    <x v="3"/>
  </r>
  <r>
    <x v="174"/>
    <x v="2"/>
    <x v="0"/>
    <x v="174"/>
    <x v="44"/>
    <x v="5"/>
    <x v="152"/>
    <x v="158"/>
    <x v="2"/>
    <x v="0"/>
    <x v="174"/>
    <x v="5"/>
  </r>
  <r>
    <x v="175"/>
    <x v="3"/>
    <x v="1"/>
    <x v="175"/>
    <x v="16"/>
    <x v="3"/>
    <x v="153"/>
    <x v="67"/>
    <x v="1"/>
    <x v="0"/>
    <x v="175"/>
    <x v="3"/>
  </r>
  <r>
    <x v="176"/>
    <x v="0"/>
    <x v="3"/>
    <x v="176"/>
    <x v="18"/>
    <x v="0"/>
    <x v="154"/>
    <x v="159"/>
    <x v="1"/>
    <x v="0"/>
    <x v="176"/>
    <x v="4"/>
  </r>
  <r>
    <x v="177"/>
    <x v="1"/>
    <x v="3"/>
    <x v="177"/>
    <x v="41"/>
    <x v="3"/>
    <x v="155"/>
    <x v="160"/>
    <x v="0"/>
    <x v="1"/>
    <x v="177"/>
    <x v="2"/>
  </r>
  <r>
    <x v="178"/>
    <x v="2"/>
    <x v="0"/>
    <x v="178"/>
    <x v="27"/>
    <x v="8"/>
    <x v="156"/>
    <x v="161"/>
    <x v="2"/>
    <x v="0"/>
    <x v="178"/>
    <x v="2"/>
  </r>
  <r>
    <x v="179"/>
    <x v="3"/>
    <x v="2"/>
    <x v="179"/>
    <x v="1"/>
    <x v="4"/>
    <x v="155"/>
    <x v="160"/>
    <x v="2"/>
    <x v="2"/>
    <x v="179"/>
    <x v="0"/>
  </r>
  <r>
    <x v="180"/>
    <x v="0"/>
    <x v="1"/>
    <x v="180"/>
    <x v="47"/>
    <x v="6"/>
    <x v="157"/>
    <x v="162"/>
    <x v="1"/>
    <x v="2"/>
    <x v="180"/>
    <x v="5"/>
  </r>
  <r>
    <x v="181"/>
    <x v="1"/>
    <x v="3"/>
    <x v="181"/>
    <x v="41"/>
    <x v="2"/>
    <x v="158"/>
    <x v="163"/>
    <x v="2"/>
    <x v="0"/>
    <x v="181"/>
    <x v="4"/>
  </r>
  <r>
    <x v="182"/>
    <x v="2"/>
    <x v="3"/>
    <x v="182"/>
    <x v="19"/>
    <x v="6"/>
    <x v="159"/>
    <x v="164"/>
    <x v="2"/>
    <x v="0"/>
    <x v="182"/>
    <x v="0"/>
  </r>
  <r>
    <x v="183"/>
    <x v="3"/>
    <x v="4"/>
    <x v="183"/>
    <x v="32"/>
    <x v="6"/>
    <x v="160"/>
    <x v="165"/>
    <x v="0"/>
    <x v="0"/>
    <x v="183"/>
    <x v="5"/>
  </r>
  <r>
    <x v="184"/>
    <x v="0"/>
    <x v="0"/>
    <x v="184"/>
    <x v="45"/>
    <x v="1"/>
    <x v="2"/>
    <x v="63"/>
    <x v="0"/>
    <x v="0"/>
    <x v="184"/>
    <x v="3"/>
  </r>
  <r>
    <x v="185"/>
    <x v="1"/>
    <x v="2"/>
    <x v="185"/>
    <x v="23"/>
    <x v="7"/>
    <x v="86"/>
    <x v="73"/>
    <x v="2"/>
    <x v="0"/>
    <x v="185"/>
    <x v="2"/>
  </r>
  <r>
    <x v="186"/>
    <x v="2"/>
    <x v="1"/>
    <x v="186"/>
    <x v="48"/>
    <x v="8"/>
    <x v="161"/>
    <x v="166"/>
    <x v="0"/>
    <x v="2"/>
    <x v="186"/>
    <x v="5"/>
  </r>
  <r>
    <x v="187"/>
    <x v="3"/>
    <x v="3"/>
    <x v="187"/>
    <x v="41"/>
    <x v="0"/>
    <x v="162"/>
    <x v="167"/>
    <x v="1"/>
    <x v="0"/>
    <x v="187"/>
    <x v="5"/>
  </r>
  <r>
    <x v="188"/>
    <x v="0"/>
    <x v="4"/>
    <x v="188"/>
    <x v="11"/>
    <x v="4"/>
    <x v="163"/>
    <x v="168"/>
    <x v="0"/>
    <x v="0"/>
    <x v="188"/>
    <x v="2"/>
  </r>
  <r>
    <x v="189"/>
    <x v="1"/>
    <x v="0"/>
    <x v="189"/>
    <x v="6"/>
    <x v="6"/>
    <x v="164"/>
    <x v="169"/>
    <x v="1"/>
    <x v="0"/>
    <x v="189"/>
    <x v="3"/>
  </r>
  <r>
    <x v="190"/>
    <x v="2"/>
    <x v="0"/>
    <x v="190"/>
    <x v="42"/>
    <x v="6"/>
    <x v="165"/>
    <x v="170"/>
    <x v="0"/>
    <x v="2"/>
    <x v="190"/>
    <x v="5"/>
  </r>
  <r>
    <x v="191"/>
    <x v="3"/>
    <x v="1"/>
    <x v="191"/>
    <x v="34"/>
    <x v="4"/>
    <x v="166"/>
    <x v="171"/>
    <x v="2"/>
    <x v="2"/>
    <x v="191"/>
    <x v="2"/>
  </r>
  <r>
    <x v="192"/>
    <x v="0"/>
    <x v="3"/>
    <x v="192"/>
    <x v="2"/>
    <x v="3"/>
    <x v="167"/>
    <x v="31"/>
    <x v="1"/>
    <x v="0"/>
    <x v="192"/>
    <x v="4"/>
  </r>
  <r>
    <x v="193"/>
    <x v="1"/>
    <x v="1"/>
    <x v="193"/>
    <x v="30"/>
    <x v="4"/>
    <x v="168"/>
    <x v="172"/>
    <x v="0"/>
    <x v="2"/>
    <x v="193"/>
    <x v="0"/>
  </r>
  <r>
    <x v="194"/>
    <x v="2"/>
    <x v="1"/>
    <x v="194"/>
    <x v="34"/>
    <x v="7"/>
    <x v="128"/>
    <x v="173"/>
    <x v="0"/>
    <x v="0"/>
    <x v="194"/>
    <x v="5"/>
  </r>
  <r>
    <x v="195"/>
    <x v="3"/>
    <x v="4"/>
    <x v="195"/>
    <x v="48"/>
    <x v="3"/>
    <x v="169"/>
    <x v="66"/>
    <x v="1"/>
    <x v="2"/>
    <x v="195"/>
    <x v="2"/>
  </r>
  <r>
    <x v="196"/>
    <x v="0"/>
    <x v="0"/>
    <x v="196"/>
    <x v="25"/>
    <x v="5"/>
    <x v="170"/>
    <x v="174"/>
    <x v="0"/>
    <x v="0"/>
    <x v="196"/>
    <x v="0"/>
  </r>
  <r>
    <x v="197"/>
    <x v="1"/>
    <x v="2"/>
    <x v="197"/>
    <x v="14"/>
    <x v="6"/>
    <x v="117"/>
    <x v="175"/>
    <x v="2"/>
    <x v="1"/>
    <x v="197"/>
    <x v="1"/>
  </r>
  <r>
    <x v="198"/>
    <x v="2"/>
    <x v="0"/>
    <x v="198"/>
    <x v="1"/>
    <x v="5"/>
    <x v="171"/>
    <x v="176"/>
    <x v="1"/>
    <x v="2"/>
    <x v="198"/>
    <x v="3"/>
  </r>
  <r>
    <x v="199"/>
    <x v="3"/>
    <x v="0"/>
    <x v="199"/>
    <x v="30"/>
    <x v="8"/>
    <x v="172"/>
    <x v="177"/>
    <x v="2"/>
    <x v="1"/>
    <x v="199"/>
    <x v="4"/>
  </r>
  <r>
    <x v="200"/>
    <x v="0"/>
    <x v="4"/>
    <x v="200"/>
    <x v="26"/>
    <x v="6"/>
    <x v="137"/>
    <x v="171"/>
    <x v="1"/>
    <x v="2"/>
    <x v="200"/>
    <x v="4"/>
  </r>
  <r>
    <x v="201"/>
    <x v="1"/>
    <x v="2"/>
    <x v="201"/>
    <x v="46"/>
    <x v="4"/>
    <x v="173"/>
    <x v="178"/>
    <x v="1"/>
    <x v="1"/>
    <x v="201"/>
    <x v="5"/>
  </r>
  <r>
    <x v="202"/>
    <x v="2"/>
    <x v="3"/>
    <x v="202"/>
    <x v="44"/>
    <x v="3"/>
    <x v="174"/>
    <x v="179"/>
    <x v="1"/>
    <x v="2"/>
    <x v="202"/>
    <x v="1"/>
  </r>
  <r>
    <x v="203"/>
    <x v="3"/>
    <x v="2"/>
    <x v="203"/>
    <x v="44"/>
    <x v="7"/>
    <x v="175"/>
    <x v="0"/>
    <x v="1"/>
    <x v="2"/>
    <x v="203"/>
    <x v="0"/>
  </r>
  <r>
    <x v="204"/>
    <x v="0"/>
    <x v="3"/>
    <x v="204"/>
    <x v="38"/>
    <x v="1"/>
    <x v="108"/>
    <x v="178"/>
    <x v="2"/>
    <x v="0"/>
    <x v="204"/>
    <x v="5"/>
  </r>
  <r>
    <x v="205"/>
    <x v="1"/>
    <x v="2"/>
    <x v="205"/>
    <x v="9"/>
    <x v="3"/>
    <x v="176"/>
    <x v="97"/>
    <x v="2"/>
    <x v="2"/>
    <x v="205"/>
    <x v="5"/>
  </r>
  <r>
    <x v="206"/>
    <x v="2"/>
    <x v="1"/>
    <x v="206"/>
    <x v="0"/>
    <x v="3"/>
    <x v="177"/>
    <x v="18"/>
    <x v="1"/>
    <x v="2"/>
    <x v="206"/>
    <x v="4"/>
  </r>
  <r>
    <x v="207"/>
    <x v="3"/>
    <x v="2"/>
    <x v="207"/>
    <x v="4"/>
    <x v="5"/>
    <x v="178"/>
    <x v="81"/>
    <x v="1"/>
    <x v="1"/>
    <x v="207"/>
    <x v="2"/>
  </r>
  <r>
    <x v="208"/>
    <x v="0"/>
    <x v="4"/>
    <x v="208"/>
    <x v="30"/>
    <x v="5"/>
    <x v="1"/>
    <x v="180"/>
    <x v="2"/>
    <x v="1"/>
    <x v="208"/>
    <x v="2"/>
  </r>
  <r>
    <x v="209"/>
    <x v="1"/>
    <x v="3"/>
    <x v="209"/>
    <x v="3"/>
    <x v="7"/>
    <x v="179"/>
    <x v="181"/>
    <x v="1"/>
    <x v="1"/>
    <x v="209"/>
    <x v="0"/>
  </r>
  <r>
    <x v="210"/>
    <x v="2"/>
    <x v="0"/>
    <x v="210"/>
    <x v="30"/>
    <x v="0"/>
    <x v="180"/>
    <x v="182"/>
    <x v="1"/>
    <x v="1"/>
    <x v="210"/>
    <x v="5"/>
  </r>
  <r>
    <x v="211"/>
    <x v="3"/>
    <x v="4"/>
    <x v="211"/>
    <x v="39"/>
    <x v="4"/>
    <x v="181"/>
    <x v="183"/>
    <x v="2"/>
    <x v="0"/>
    <x v="211"/>
    <x v="5"/>
  </r>
  <r>
    <x v="212"/>
    <x v="0"/>
    <x v="3"/>
    <x v="212"/>
    <x v="5"/>
    <x v="1"/>
    <x v="182"/>
    <x v="82"/>
    <x v="2"/>
    <x v="1"/>
    <x v="212"/>
    <x v="5"/>
  </r>
  <r>
    <x v="213"/>
    <x v="1"/>
    <x v="3"/>
    <x v="213"/>
    <x v="18"/>
    <x v="1"/>
    <x v="183"/>
    <x v="184"/>
    <x v="2"/>
    <x v="0"/>
    <x v="213"/>
    <x v="4"/>
  </r>
  <r>
    <x v="214"/>
    <x v="2"/>
    <x v="0"/>
    <x v="214"/>
    <x v="6"/>
    <x v="3"/>
    <x v="63"/>
    <x v="185"/>
    <x v="0"/>
    <x v="0"/>
    <x v="214"/>
    <x v="2"/>
  </r>
  <r>
    <x v="215"/>
    <x v="3"/>
    <x v="1"/>
    <x v="215"/>
    <x v="15"/>
    <x v="3"/>
    <x v="175"/>
    <x v="186"/>
    <x v="1"/>
    <x v="1"/>
    <x v="215"/>
    <x v="1"/>
  </r>
  <r>
    <x v="216"/>
    <x v="0"/>
    <x v="4"/>
    <x v="216"/>
    <x v="18"/>
    <x v="2"/>
    <x v="184"/>
    <x v="187"/>
    <x v="2"/>
    <x v="1"/>
    <x v="216"/>
    <x v="1"/>
  </r>
  <r>
    <x v="217"/>
    <x v="1"/>
    <x v="0"/>
    <x v="217"/>
    <x v="30"/>
    <x v="2"/>
    <x v="185"/>
    <x v="188"/>
    <x v="1"/>
    <x v="1"/>
    <x v="217"/>
    <x v="2"/>
  </r>
  <r>
    <x v="218"/>
    <x v="2"/>
    <x v="0"/>
    <x v="218"/>
    <x v="35"/>
    <x v="6"/>
    <x v="186"/>
    <x v="189"/>
    <x v="0"/>
    <x v="2"/>
    <x v="218"/>
    <x v="3"/>
  </r>
  <r>
    <x v="219"/>
    <x v="3"/>
    <x v="1"/>
    <x v="219"/>
    <x v="27"/>
    <x v="4"/>
    <x v="187"/>
    <x v="190"/>
    <x v="2"/>
    <x v="1"/>
    <x v="219"/>
    <x v="4"/>
  </r>
  <r>
    <x v="220"/>
    <x v="0"/>
    <x v="4"/>
    <x v="220"/>
    <x v="38"/>
    <x v="1"/>
    <x v="188"/>
    <x v="191"/>
    <x v="2"/>
    <x v="1"/>
    <x v="220"/>
    <x v="4"/>
  </r>
  <r>
    <x v="221"/>
    <x v="1"/>
    <x v="0"/>
    <x v="221"/>
    <x v="3"/>
    <x v="5"/>
    <x v="189"/>
    <x v="192"/>
    <x v="1"/>
    <x v="0"/>
    <x v="221"/>
    <x v="3"/>
  </r>
  <r>
    <x v="222"/>
    <x v="2"/>
    <x v="1"/>
    <x v="222"/>
    <x v="31"/>
    <x v="4"/>
    <x v="190"/>
    <x v="193"/>
    <x v="1"/>
    <x v="1"/>
    <x v="222"/>
    <x v="1"/>
  </r>
  <r>
    <x v="223"/>
    <x v="3"/>
    <x v="4"/>
    <x v="223"/>
    <x v="22"/>
    <x v="2"/>
    <x v="191"/>
    <x v="194"/>
    <x v="2"/>
    <x v="2"/>
    <x v="223"/>
    <x v="1"/>
  </r>
  <r>
    <x v="224"/>
    <x v="0"/>
    <x v="2"/>
    <x v="224"/>
    <x v="49"/>
    <x v="5"/>
    <x v="192"/>
    <x v="195"/>
    <x v="2"/>
    <x v="1"/>
    <x v="224"/>
    <x v="4"/>
  </r>
  <r>
    <x v="225"/>
    <x v="1"/>
    <x v="3"/>
    <x v="225"/>
    <x v="20"/>
    <x v="5"/>
    <x v="193"/>
    <x v="23"/>
    <x v="1"/>
    <x v="1"/>
    <x v="225"/>
    <x v="3"/>
  </r>
  <r>
    <x v="226"/>
    <x v="2"/>
    <x v="1"/>
    <x v="226"/>
    <x v="13"/>
    <x v="2"/>
    <x v="194"/>
    <x v="136"/>
    <x v="1"/>
    <x v="0"/>
    <x v="226"/>
    <x v="4"/>
  </r>
  <r>
    <x v="227"/>
    <x v="3"/>
    <x v="3"/>
    <x v="227"/>
    <x v="25"/>
    <x v="7"/>
    <x v="195"/>
    <x v="196"/>
    <x v="2"/>
    <x v="2"/>
    <x v="227"/>
    <x v="0"/>
  </r>
  <r>
    <x v="228"/>
    <x v="0"/>
    <x v="2"/>
    <x v="228"/>
    <x v="48"/>
    <x v="0"/>
    <x v="196"/>
    <x v="197"/>
    <x v="0"/>
    <x v="2"/>
    <x v="228"/>
    <x v="5"/>
  </r>
  <r>
    <x v="229"/>
    <x v="1"/>
    <x v="0"/>
    <x v="229"/>
    <x v="21"/>
    <x v="0"/>
    <x v="197"/>
    <x v="198"/>
    <x v="1"/>
    <x v="1"/>
    <x v="229"/>
    <x v="2"/>
  </r>
  <r>
    <x v="230"/>
    <x v="2"/>
    <x v="0"/>
    <x v="230"/>
    <x v="49"/>
    <x v="8"/>
    <x v="198"/>
    <x v="181"/>
    <x v="1"/>
    <x v="2"/>
    <x v="230"/>
    <x v="0"/>
  </r>
  <r>
    <x v="231"/>
    <x v="3"/>
    <x v="4"/>
    <x v="231"/>
    <x v="19"/>
    <x v="5"/>
    <x v="199"/>
    <x v="199"/>
    <x v="1"/>
    <x v="1"/>
    <x v="231"/>
    <x v="5"/>
  </r>
  <r>
    <x v="232"/>
    <x v="0"/>
    <x v="1"/>
    <x v="232"/>
    <x v="50"/>
    <x v="7"/>
    <x v="156"/>
    <x v="161"/>
    <x v="2"/>
    <x v="0"/>
    <x v="232"/>
    <x v="2"/>
  </r>
  <r>
    <x v="233"/>
    <x v="1"/>
    <x v="1"/>
    <x v="233"/>
    <x v="46"/>
    <x v="2"/>
    <x v="200"/>
    <x v="200"/>
    <x v="2"/>
    <x v="2"/>
    <x v="233"/>
    <x v="0"/>
  </r>
  <r>
    <x v="234"/>
    <x v="2"/>
    <x v="4"/>
    <x v="234"/>
    <x v="31"/>
    <x v="8"/>
    <x v="40"/>
    <x v="201"/>
    <x v="2"/>
    <x v="1"/>
    <x v="234"/>
    <x v="3"/>
  </r>
  <r>
    <x v="235"/>
    <x v="3"/>
    <x v="3"/>
    <x v="235"/>
    <x v="47"/>
    <x v="7"/>
    <x v="201"/>
    <x v="202"/>
    <x v="1"/>
    <x v="0"/>
    <x v="235"/>
    <x v="1"/>
  </r>
  <r>
    <x v="236"/>
    <x v="0"/>
    <x v="0"/>
    <x v="236"/>
    <x v="6"/>
    <x v="0"/>
    <x v="202"/>
    <x v="203"/>
    <x v="1"/>
    <x v="0"/>
    <x v="236"/>
    <x v="0"/>
  </r>
  <r>
    <x v="237"/>
    <x v="1"/>
    <x v="0"/>
    <x v="237"/>
    <x v="24"/>
    <x v="4"/>
    <x v="203"/>
    <x v="88"/>
    <x v="0"/>
    <x v="1"/>
    <x v="237"/>
    <x v="3"/>
  </r>
  <r>
    <x v="238"/>
    <x v="2"/>
    <x v="1"/>
    <x v="238"/>
    <x v="29"/>
    <x v="8"/>
    <x v="204"/>
    <x v="70"/>
    <x v="2"/>
    <x v="0"/>
    <x v="238"/>
    <x v="5"/>
  </r>
  <r>
    <x v="239"/>
    <x v="3"/>
    <x v="1"/>
    <x v="239"/>
    <x v="46"/>
    <x v="6"/>
    <x v="205"/>
    <x v="204"/>
    <x v="2"/>
    <x v="0"/>
    <x v="239"/>
    <x v="5"/>
  </r>
  <r>
    <x v="240"/>
    <x v="0"/>
    <x v="4"/>
    <x v="240"/>
    <x v="30"/>
    <x v="4"/>
    <x v="40"/>
    <x v="205"/>
    <x v="1"/>
    <x v="1"/>
    <x v="240"/>
    <x v="1"/>
  </r>
  <r>
    <x v="241"/>
    <x v="1"/>
    <x v="2"/>
    <x v="241"/>
    <x v="47"/>
    <x v="0"/>
    <x v="146"/>
    <x v="206"/>
    <x v="1"/>
    <x v="2"/>
    <x v="241"/>
    <x v="2"/>
  </r>
  <r>
    <x v="242"/>
    <x v="2"/>
    <x v="3"/>
    <x v="242"/>
    <x v="11"/>
    <x v="8"/>
    <x v="206"/>
    <x v="207"/>
    <x v="0"/>
    <x v="2"/>
    <x v="242"/>
    <x v="2"/>
  </r>
  <r>
    <x v="243"/>
    <x v="3"/>
    <x v="2"/>
    <x v="243"/>
    <x v="26"/>
    <x v="7"/>
    <x v="207"/>
    <x v="208"/>
    <x v="1"/>
    <x v="0"/>
    <x v="243"/>
    <x v="1"/>
  </r>
  <r>
    <x v="244"/>
    <x v="0"/>
    <x v="2"/>
    <x v="244"/>
    <x v="23"/>
    <x v="3"/>
    <x v="208"/>
    <x v="209"/>
    <x v="1"/>
    <x v="1"/>
    <x v="244"/>
    <x v="3"/>
  </r>
  <r>
    <x v="245"/>
    <x v="1"/>
    <x v="1"/>
    <x v="245"/>
    <x v="8"/>
    <x v="5"/>
    <x v="88"/>
    <x v="210"/>
    <x v="1"/>
    <x v="2"/>
    <x v="245"/>
    <x v="5"/>
  </r>
  <r>
    <x v="246"/>
    <x v="2"/>
    <x v="1"/>
    <x v="246"/>
    <x v="34"/>
    <x v="2"/>
    <x v="209"/>
    <x v="83"/>
    <x v="0"/>
    <x v="2"/>
    <x v="246"/>
    <x v="2"/>
  </r>
  <r>
    <x v="247"/>
    <x v="3"/>
    <x v="1"/>
    <x v="247"/>
    <x v="38"/>
    <x v="4"/>
    <x v="200"/>
    <x v="200"/>
    <x v="0"/>
    <x v="0"/>
    <x v="247"/>
    <x v="4"/>
  </r>
  <r>
    <x v="248"/>
    <x v="0"/>
    <x v="2"/>
    <x v="248"/>
    <x v="14"/>
    <x v="4"/>
    <x v="210"/>
    <x v="211"/>
    <x v="0"/>
    <x v="0"/>
    <x v="248"/>
    <x v="1"/>
  </r>
  <r>
    <x v="249"/>
    <x v="1"/>
    <x v="3"/>
    <x v="249"/>
    <x v="45"/>
    <x v="6"/>
    <x v="211"/>
    <x v="212"/>
    <x v="0"/>
    <x v="2"/>
    <x v="249"/>
    <x v="2"/>
  </r>
  <r>
    <x v="250"/>
    <x v="2"/>
    <x v="1"/>
    <x v="250"/>
    <x v="36"/>
    <x v="6"/>
    <x v="212"/>
    <x v="75"/>
    <x v="0"/>
    <x v="1"/>
    <x v="250"/>
    <x v="0"/>
  </r>
  <r>
    <x v="251"/>
    <x v="3"/>
    <x v="0"/>
    <x v="251"/>
    <x v="50"/>
    <x v="4"/>
    <x v="213"/>
    <x v="213"/>
    <x v="2"/>
    <x v="1"/>
    <x v="251"/>
    <x v="5"/>
  </r>
  <r>
    <x v="252"/>
    <x v="0"/>
    <x v="3"/>
    <x v="252"/>
    <x v="37"/>
    <x v="4"/>
    <x v="214"/>
    <x v="8"/>
    <x v="1"/>
    <x v="0"/>
    <x v="252"/>
    <x v="3"/>
  </r>
  <r>
    <x v="253"/>
    <x v="1"/>
    <x v="0"/>
    <x v="253"/>
    <x v="16"/>
    <x v="1"/>
    <x v="215"/>
    <x v="214"/>
    <x v="0"/>
    <x v="2"/>
    <x v="253"/>
    <x v="1"/>
  </r>
  <r>
    <x v="254"/>
    <x v="2"/>
    <x v="3"/>
    <x v="254"/>
    <x v="40"/>
    <x v="8"/>
    <x v="216"/>
    <x v="215"/>
    <x v="0"/>
    <x v="2"/>
    <x v="254"/>
    <x v="5"/>
  </r>
  <r>
    <x v="255"/>
    <x v="3"/>
    <x v="1"/>
    <x v="255"/>
    <x v="14"/>
    <x v="7"/>
    <x v="217"/>
    <x v="171"/>
    <x v="0"/>
    <x v="0"/>
    <x v="255"/>
    <x v="3"/>
  </r>
  <r>
    <x v="256"/>
    <x v="0"/>
    <x v="4"/>
    <x v="256"/>
    <x v="12"/>
    <x v="4"/>
    <x v="218"/>
    <x v="216"/>
    <x v="0"/>
    <x v="0"/>
    <x v="256"/>
    <x v="4"/>
  </r>
  <r>
    <x v="257"/>
    <x v="1"/>
    <x v="1"/>
    <x v="257"/>
    <x v="20"/>
    <x v="8"/>
    <x v="219"/>
    <x v="217"/>
    <x v="1"/>
    <x v="2"/>
    <x v="257"/>
    <x v="2"/>
  </r>
  <r>
    <x v="258"/>
    <x v="2"/>
    <x v="2"/>
    <x v="258"/>
    <x v="39"/>
    <x v="8"/>
    <x v="220"/>
    <x v="218"/>
    <x v="1"/>
    <x v="1"/>
    <x v="258"/>
    <x v="1"/>
  </r>
  <r>
    <x v="259"/>
    <x v="3"/>
    <x v="2"/>
    <x v="259"/>
    <x v="47"/>
    <x v="5"/>
    <x v="221"/>
    <x v="156"/>
    <x v="2"/>
    <x v="0"/>
    <x v="259"/>
    <x v="4"/>
  </r>
  <r>
    <x v="260"/>
    <x v="0"/>
    <x v="3"/>
    <x v="260"/>
    <x v="19"/>
    <x v="1"/>
    <x v="222"/>
    <x v="14"/>
    <x v="1"/>
    <x v="1"/>
    <x v="260"/>
    <x v="3"/>
  </r>
  <r>
    <x v="261"/>
    <x v="1"/>
    <x v="2"/>
    <x v="261"/>
    <x v="12"/>
    <x v="6"/>
    <x v="223"/>
    <x v="219"/>
    <x v="0"/>
    <x v="1"/>
    <x v="261"/>
    <x v="1"/>
  </r>
  <r>
    <x v="262"/>
    <x v="2"/>
    <x v="1"/>
    <x v="262"/>
    <x v="45"/>
    <x v="6"/>
    <x v="224"/>
    <x v="220"/>
    <x v="0"/>
    <x v="2"/>
    <x v="262"/>
    <x v="5"/>
  </r>
  <r>
    <x v="263"/>
    <x v="3"/>
    <x v="0"/>
    <x v="263"/>
    <x v="44"/>
    <x v="4"/>
    <x v="225"/>
    <x v="221"/>
    <x v="0"/>
    <x v="1"/>
    <x v="263"/>
    <x v="2"/>
  </r>
  <r>
    <x v="264"/>
    <x v="0"/>
    <x v="1"/>
    <x v="264"/>
    <x v="4"/>
    <x v="2"/>
    <x v="43"/>
    <x v="7"/>
    <x v="0"/>
    <x v="1"/>
    <x v="264"/>
    <x v="5"/>
  </r>
  <r>
    <x v="265"/>
    <x v="1"/>
    <x v="3"/>
    <x v="265"/>
    <x v="19"/>
    <x v="3"/>
    <x v="226"/>
    <x v="222"/>
    <x v="1"/>
    <x v="2"/>
    <x v="265"/>
    <x v="4"/>
  </r>
  <r>
    <x v="266"/>
    <x v="2"/>
    <x v="2"/>
    <x v="266"/>
    <x v="39"/>
    <x v="8"/>
    <x v="157"/>
    <x v="223"/>
    <x v="1"/>
    <x v="0"/>
    <x v="266"/>
    <x v="4"/>
  </r>
  <r>
    <x v="267"/>
    <x v="3"/>
    <x v="0"/>
    <x v="267"/>
    <x v="47"/>
    <x v="7"/>
    <x v="227"/>
    <x v="224"/>
    <x v="2"/>
    <x v="1"/>
    <x v="267"/>
    <x v="4"/>
  </r>
  <r>
    <x v="268"/>
    <x v="0"/>
    <x v="4"/>
    <x v="268"/>
    <x v="5"/>
    <x v="1"/>
    <x v="228"/>
    <x v="225"/>
    <x v="1"/>
    <x v="0"/>
    <x v="268"/>
    <x v="0"/>
  </r>
  <r>
    <x v="269"/>
    <x v="1"/>
    <x v="0"/>
    <x v="269"/>
    <x v="0"/>
    <x v="6"/>
    <x v="161"/>
    <x v="69"/>
    <x v="0"/>
    <x v="2"/>
    <x v="269"/>
    <x v="1"/>
  </r>
  <r>
    <x v="270"/>
    <x v="2"/>
    <x v="0"/>
    <x v="270"/>
    <x v="41"/>
    <x v="4"/>
    <x v="229"/>
    <x v="30"/>
    <x v="0"/>
    <x v="2"/>
    <x v="270"/>
    <x v="3"/>
  </r>
  <r>
    <x v="271"/>
    <x v="3"/>
    <x v="1"/>
    <x v="271"/>
    <x v="46"/>
    <x v="6"/>
    <x v="230"/>
    <x v="226"/>
    <x v="1"/>
    <x v="2"/>
    <x v="271"/>
    <x v="3"/>
  </r>
  <r>
    <x v="272"/>
    <x v="0"/>
    <x v="4"/>
    <x v="272"/>
    <x v="20"/>
    <x v="5"/>
    <x v="231"/>
    <x v="227"/>
    <x v="2"/>
    <x v="2"/>
    <x v="272"/>
    <x v="5"/>
  </r>
  <r>
    <x v="273"/>
    <x v="1"/>
    <x v="3"/>
    <x v="273"/>
    <x v="19"/>
    <x v="1"/>
    <x v="193"/>
    <x v="23"/>
    <x v="2"/>
    <x v="2"/>
    <x v="273"/>
    <x v="5"/>
  </r>
  <r>
    <x v="274"/>
    <x v="2"/>
    <x v="3"/>
    <x v="274"/>
    <x v="17"/>
    <x v="1"/>
    <x v="100"/>
    <x v="9"/>
    <x v="1"/>
    <x v="0"/>
    <x v="274"/>
    <x v="5"/>
  </r>
  <r>
    <x v="275"/>
    <x v="3"/>
    <x v="0"/>
    <x v="275"/>
    <x v="14"/>
    <x v="4"/>
    <x v="189"/>
    <x v="228"/>
    <x v="1"/>
    <x v="0"/>
    <x v="275"/>
    <x v="5"/>
  </r>
  <r>
    <x v="276"/>
    <x v="0"/>
    <x v="0"/>
    <x v="276"/>
    <x v="12"/>
    <x v="8"/>
    <x v="155"/>
    <x v="229"/>
    <x v="1"/>
    <x v="2"/>
    <x v="276"/>
    <x v="5"/>
  </r>
  <r>
    <x v="277"/>
    <x v="1"/>
    <x v="2"/>
    <x v="277"/>
    <x v="33"/>
    <x v="0"/>
    <x v="232"/>
    <x v="230"/>
    <x v="0"/>
    <x v="1"/>
    <x v="277"/>
    <x v="1"/>
  </r>
  <r>
    <x v="278"/>
    <x v="2"/>
    <x v="4"/>
    <x v="278"/>
    <x v="21"/>
    <x v="4"/>
    <x v="233"/>
    <x v="231"/>
    <x v="1"/>
    <x v="2"/>
    <x v="278"/>
    <x v="1"/>
  </r>
  <r>
    <x v="279"/>
    <x v="3"/>
    <x v="0"/>
    <x v="279"/>
    <x v="1"/>
    <x v="0"/>
    <x v="234"/>
    <x v="232"/>
    <x v="1"/>
    <x v="2"/>
    <x v="279"/>
    <x v="2"/>
  </r>
  <r>
    <x v="280"/>
    <x v="0"/>
    <x v="2"/>
    <x v="280"/>
    <x v="2"/>
    <x v="5"/>
    <x v="235"/>
    <x v="233"/>
    <x v="2"/>
    <x v="1"/>
    <x v="280"/>
    <x v="3"/>
  </r>
  <r>
    <x v="281"/>
    <x v="1"/>
    <x v="4"/>
    <x v="281"/>
    <x v="42"/>
    <x v="1"/>
    <x v="236"/>
    <x v="150"/>
    <x v="2"/>
    <x v="1"/>
    <x v="281"/>
    <x v="3"/>
  </r>
  <r>
    <x v="282"/>
    <x v="2"/>
    <x v="3"/>
    <x v="282"/>
    <x v="17"/>
    <x v="1"/>
    <x v="237"/>
    <x v="234"/>
    <x v="0"/>
    <x v="2"/>
    <x v="282"/>
    <x v="2"/>
  </r>
  <r>
    <x v="283"/>
    <x v="3"/>
    <x v="2"/>
    <x v="283"/>
    <x v="21"/>
    <x v="5"/>
    <x v="238"/>
    <x v="12"/>
    <x v="2"/>
    <x v="2"/>
    <x v="283"/>
    <x v="1"/>
  </r>
  <r>
    <x v="284"/>
    <x v="0"/>
    <x v="4"/>
    <x v="284"/>
    <x v="13"/>
    <x v="0"/>
    <x v="151"/>
    <x v="235"/>
    <x v="2"/>
    <x v="1"/>
    <x v="284"/>
    <x v="1"/>
  </r>
  <r>
    <x v="285"/>
    <x v="1"/>
    <x v="2"/>
    <x v="285"/>
    <x v="44"/>
    <x v="7"/>
    <x v="239"/>
    <x v="28"/>
    <x v="1"/>
    <x v="1"/>
    <x v="285"/>
    <x v="1"/>
  </r>
  <r>
    <x v="286"/>
    <x v="2"/>
    <x v="0"/>
    <x v="286"/>
    <x v="38"/>
    <x v="7"/>
    <x v="155"/>
    <x v="229"/>
    <x v="2"/>
    <x v="2"/>
    <x v="286"/>
    <x v="0"/>
  </r>
  <r>
    <x v="287"/>
    <x v="3"/>
    <x v="1"/>
    <x v="287"/>
    <x v="16"/>
    <x v="2"/>
    <x v="93"/>
    <x v="236"/>
    <x v="2"/>
    <x v="2"/>
    <x v="287"/>
    <x v="4"/>
  </r>
  <r>
    <x v="288"/>
    <x v="0"/>
    <x v="3"/>
    <x v="288"/>
    <x v="27"/>
    <x v="5"/>
    <x v="240"/>
    <x v="237"/>
    <x v="2"/>
    <x v="1"/>
    <x v="288"/>
    <x v="3"/>
  </r>
  <r>
    <x v="289"/>
    <x v="1"/>
    <x v="0"/>
    <x v="289"/>
    <x v="7"/>
    <x v="3"/>
    <x v="13"/>
    <x v="238"/>
    <x v="2"/>
    <x v="2"/>
    <x v="289"/>
    <x v="4"/>
  </r>
  <r>
    <x v="290"/>
    <x v="2"/>
    <x v="0"/>
    <x v="290"/>
    <x v="42"/>
    <x v="8"/>
    <x v="241"/>
    <x v="144"/>
    <x v="2"/>
    <x v="0"/>
    <x v="290"/>
    <x v="1"/>
  </r>
  <r>
    <x v="291"/>
    <x v="3"/>
    <x v="4"/>
    <x v="291"/>
    <x v="37"/>
    <x v="6"/>
    <x v="242"/>
    <x v="239"/>
    <x v="2"/>
    <x v="2"/>
    <x v="291"/>
    <x v="3"/>
  </r>
  <r>
    <x v="292"/>
    <x v="0"/>
    <x v="2"/>
    <x v="292"/>
    <x v="45"/>
    <x v="6"/>
    <x v="18"/>
    <x v="240"/>
    <x v="2"/>
    <x v="1"/>
    <x v="292"/>
    <x v="1"/>
  </r>
  <r>
    <x v="293"/>
    <x v="1"/>
    <x v="3"/>
    <x v="293"/>
    <x v="13"/>
    <x v="4"/>
    <x v="243"/>
    <x v="13"/>
    <x v="2"/>
    <x v="0"/>
    <x v="293"/>
    <x v="3"/>
  </r>
  <r>
    <x v="294"/>
    <x v="2"/>
    <x v="0"/>
    <x v="294"/>
    <x v="32"/>
    <x v="2"/>
    <x v="244"/>
    <x v="241"/>
    <x v="0"/>
    <x v="2"/>
    <x v="294"/>
    <x v="4"/>
  </r>
  <r>
    <x v="295"/>
    <x v="3"/>
    <x v="4"/>
    <x v="295"/>
    <x v="36"/>
    <x v="2"/>
    <x v="245"/>
    <x v="242"/>
    <x v="1"/>
    <x v="1"/>
    <x v="295"/>
    <x v="4"/>
  </r>
  <r>
    <x v="296"/>
    <x v="0"/>
    <x v="3"/>
    <x v="296"/>
    <x v="38"/>
    <x v="0"/>
    <x v="193"/>
    <x v="209"/>
    <x v="2"/>
    <x v="0"/>
    <x v="296"/>
    <x v="4"/>
  </r>
  <r>
    <x v="297"/>
    <x v="1"/>
    <x v="2"/>
    <x v="297"/>
    <x v="47"/>
    <x v="1"/>
    <x v="246"/>
    <x v="212"/>
    <x v="1"/>
    <x v="1"/>
    <x v="297"/>
    <x v="2"/>
  </r>
  <r>
    <x v="298"/>
    <x v="2"/>
    <x v="0"/>
    <x v="298"/>
    <x v="40"/>
    <x v="7"/>
    <x v="190"/>
    <x v="176"/>
    <x v="2"/>
    <x v="2"/>
    <x v="298"/>
    <x v="4"/>
  </r>
  <r>
    <x v="299"/>
    <x v="3"/>
    <x v="0"/>
    <x v="299"/>
    <x v="41"/>
    <x v="1"/>
    <x v="34"/>
    <x v="243"/>
    <x v="0"/>
    <x v="0"/>
    <x v="299"/>
    <x v="1"/>
  </r>
  <r>
    <x v="300"/>
    <x v="0"/>
    <x v="0"/>
    <x v="300"/>
    <x v="23"/>
    <x v="3"/>
    <x v="247"/>
    <x v="121"/>
    <x v="2"/>
    <x v="2"/>
    <x v="300"/>
    <x v="2"/>
  </r>
  <r>
    <x v="301"/>
    <x v="1"/>
    <x v="3"/>
    <x v="301"/>
    <x v="15"/>
    <x v="4"/>
    <x v="248"/>
    <x v="244"/>
    <x v="0"/>
    <x v="0"/>
    <x v="301"/>
    <x v="5"/>
  </r>
  <r>
    <x v="302"/>
    <x v="2"/>
    <x v="3"/>
    <x v="302"/>
    <x v="33"/>
    <x v="2"/>
    <x v="249"/>
    <x v="245"/>
    <x v="2"/>
    <x v="2"/>
    <x v="302"/>
    <x v="2"/>
  </r>
  <r>
    <x v="303"/>
    <x v="3"/>
    <x v="3"/>
    <x v="303"/>
    <x v="18"/>
    <x v="3"/>
    <x v="250"/>
    <x v="20"/>
    <x v="2"/>
    <x v="0"/>
    <x v="303"/>
    <x v="1"/>
  </r>
  <r>
    <x v="304"/>
    <x v="0"/>
    <x v="3"/>
    <x v="304"/>
    <x v="35"/>
    <x v="2"/>
    <x v="251"/>
    <x v="156"/>
    <x v="1"/>
    <x v="1"/>
    <x v="304"/>
    <x v="1"/>
  </r>
  <r>
    <x v="305"/>
    <x v="1"/>
    <x v="4"/>
    <x v="305"/>
    <x v="25"/>
    <x v="5"/>
    <x v="161"/>
    <x v="246"/>
    <x v="2"/>
    <x v="2"/>
    <x v="305"/>
    <x v="3"/>
  </r>
  <r>
    <x v="306"/>
    <x v="2"/>
    <x v="1"/>
    <x v="306"/>
    <x v="48"/>
    <x v="2"/>
    <x v="23"/>
    <x v="23"/>
    <x v="2"/>
    <x v="2"/>
    <x v="306"/>
    <x v="2"/>
  </r>
  <r>
    <x v="307"/>
    <x v="3"/>
    <x v="4"/>
    <x v="307"/>
    <x v="10"/>
    <x v="3"/>
    <x v="117"/>
    <x v="247"/>
    <x v="0"/>
    <x v="1"/>
    <x v="307"/>
    <x v="0"/>
  </r>
  <r>
    <x v="308"/>
    <x v="0"/>
    <x v="0"/>
    <x v="308"/>
    <x v="11"/>
    <x v="3"/>
    <x v="252"/>
    <x v="57"/>
    <x v="1"/>
    <x v="2"/>
    <x v="308"/>
    <x v="2"/>
  </r>
  <r>
    <x v="309"/>
    <x v="1"/>
    <x v="4"/>
    <x v="309"/>
    <x v="5"/>
    <x v="4"/>
    <x v="253"/>
    <x v="102"/>
    <x v="2"/>
    <x v="0"/>
    <x v="309"/>
    <x v="3"/>
  </r>
  <r>
    <x v="310"/>
    <x v="2"/>
    <x v="2"/>
    <x v="310"/>
    <x v="44"/>
    <x v="7"/>
    <x v="254"/>
    <x v="18"/>
    <x v="1"/>
    <x v="1"/>
    <x v="310"/>
    <x v="5"/>
  </r>
  <r>
    <x v="311"/>
    <x v="3"/>
    <x v="3"/>
    <x v="311"/>
    <x v="37"/>
    <x v="1"/>
    <x v="255"/>
    <x v="248"/>
    <x v="1"/>
    <x v="0"/>
    <x v="311"/>
    <x v="1"/>
  </r>
  <r>
    <x v="312"/>
    <x v="0"/>
    <x v="2"/>
    <x v="312"/>
    <x v="50"/>
    <x v="3"/>
    <x v="256"/>
    <x v="188"/>
    <x v="2"/>
    <x v="1"/>
    <x v="312"/>
    <x v="5"/>
  </r>
  <r>
    <x v="313"/>
    <x v="1"/>
    <x v="2"/>
    <x v="313"/>
    <x v="21"/>
    <x v="3"/>
    <x v="257"/>
    <x v="249"/>
    <x v="2"/>
    <x v="0"/>
    <x v="313"/>
    <x v="3"/>
  </r>
  <r>
    <x v="314"/>
    <x v="2"/>
    <x v="0"/>
    <x v="314"/>
    <x v="42"/>
    <x v="0"/>
    <x v="258"/>
    <x v="250"/>
    <x v="2"/>
    <x v="2"/>
    <x v="314"/>
    <x v="3"/>
  </r>
  <r>
    <x v="315"/>
    <x v="3"/>
    <x v="3"/>
    <x v="315"/>
    <x v="46"/>
    <x v="0"/>
    <x v="259"/>
    <x v="251"/>
    <x v="2"/>
    <x v="0"/>
    <x v="315"/>
    <x v="0"/>
  </r>
  <r>
    <x v="316"/>
    <x v="0"/>
    <x v="2"/>
    <x v="316"/>
    <x v="28"/>
    <x v="6"/>
    <x v="79"/>
    <x v="252"/>
    <x v="2"/>
    <x v="2"/>
    <x v="316"/>
    <x v="1"/>
  </r>
  <r>
    <x v="317"/>
    <x v="1"/>
    <x v="0"/>
    <x v="317"/>
    <x v="7"/>
    <x v="1"/>
    <x v="260"/>
    <x v="253"/>
    <x v="1"/>
    <x v="1"/>
    <x v="317"/>
    <x v="5"/>
  </r>
  <r>
    <x v="318"/>
    <x v="2"/>
    <x v="3"/>
    <x v="318"/>
    <x v="11"/>
    <x v="7"/>
    <x v="261"/>
    <x v="254"/>
    <x v="0"/>
    <x v="0"/>
    <x v="318"/>
    <x v="3"/>
  </r>
  <r>
    <x v="319"/>
    <x v="3"/>
    <x v="1"/>
    <x v="319"/>
    <x v="17"/>
    <x v="5"/>
    <x v="262"/>
    <x v="183"/>
    <x v="1"/>
    <x v="0"/>
    <x v="319"/>
    <x v="4"/>
  </r>
  <r>
    <x v="320"/>
    <x v="0"/>
    <x v="0"/>
    <x v="320"/>
    <x v="27"/>
    <x v="1"/>
    <x v="263"/>
    <x v="255"/>
    <x v="2"/>
    <x v="2"/>
    <x v="320"/>
    <x v="3"/>
  </r>
  <r>
    <x v="321"/>
    <x v="1"/>
    <x v="4"/>
    <x v="321"/>
    <x v="39"/>
    <x v="7"/>
    <x v="264"/>
    <x v="256"/>
    <x v="1"/>
    <x v="1"/>
    <x v="321"/>
    <x v="5"/>
  </r>
  <r>
    <x v="322"/>
    <x v="2"/>
    <x v="3"/>
    <x v="322"/>
    <x v="9"/>
    <x v="7"/>
    <x v="265"/>
    <x v="222"/>
    <x v="0"/>
    <x v="2"/>
    <x v="322"/>
    <x v="4"/>
  </r>
  <r>
    <x v="323"/>
    <x v="3"/>
    <x v="2"/>
    <x v="323"/>
    <x v="39"/>
    <x v="8"/>
    <x v="242"/>
    <x v="257"/>
    <x v="1"/>
    <x v="1"/>
    <x v="323"/>
    <x v="1"/>
  </r>
  <r>
    <x v="324"/>
    <x v="0"/>
    <x v="2"/>
    <x v="324"/>
    <x v="16"/>
    <x v="5"/>
    <x v="262"/>
    <x v="258"/>
    <x v="2"/>
    <x v="2"/>
    <x v="324"/>
    <x v="0"/>
  </r>
  <r>
    <x v="325"/>
    <x v="1"/>
    <x v="4"/>
    <x v="325"/>
    <x v="17"/>
    <x v="0"/>
    <x v="266"/>
    <x v="10"/>
    <x v="2"/>
    <x v="2"/>
    <x v="325"/>
    <x v="1"/>
  </r>
  <r>
    <x v="326"/>
    <x v="2"/>
    <x v="4"/>
    <x v="326"/>
    <x v="35"/>
    <x v="4"/>
    <x v="267"/>
    <x v="259"/>
    <x v="2"/>
    <x v="2"/>
    <x v="326"/>
    <x v="3"/>
  </r>
  <r>
    <x v="327"/>
    <x v="3"/>
    <x v="2"/>
    <x v="327"/>
    <x v="13"/>
    <x v="5"/>
    <x v="268"/>
    <x v="260"/>
    <x v="0"/>
    <x v="0"/>
    <x v="327"/>
    <x v="4"/>
  </r>
  <r>
    <x v="328"/>
    <x v="0"/>
    <x v="3"/>
    <x v="328"/>
    <x v="40"/>
    <x v="0"/>
    <x v="269"/>
    <x v="261"/>
    <x v="2"/>
    <x v="0"/>
    <x v="328"/>
    <x v="3"/>
  </r>
  <r>
    <x v="329"/>
    <x v="1"/>
    <x v="0"/>
    <x v="329"/>
    <x v="30"/>
    <x v="6"/>
    <x v="66"/>
    <x v="66"/>
    <x v="2"/>
    <x v="2"/>
    <x v="329"/>
    <x v="1"/>
  </r>
  <r>
    <x v="330"/>
    <x v="2"/>
    <x v="4"/>
    <x v="330"/>
    <x v="42"/>
    <x v="1"/>
    <x v="270"/>
    <x v="52"/>
    <x v="2"/>
    <x v="1"/>
    <x v="330"/>
    <x v="1"/>
  </r>
  <r>
    <x v="331"/>
    <x v="3"/>
    <x v="4"/>
    <x v="331"/>
    <x v="23"/>
    <x v="4"/>
    <x v="271"/>
    <x v="224"/>
    <x v="2"/>
    <x v="0"/>
    <x v="331"/>
    <x v="0"/>
  </r>
  <r>
    <x v="332"/>
    <x v="0"/>
    <x v="4"/>
    <x v="332"/>
    <x v="26"/>
    <x v="6"/>
    <x v="272"/>
    <x v="262"/>
    <x v="1"/>
    <x v="2"/>
    <x v="332"/>
    <x v="4"/>
  </r>
  <r>
    <x v="333"/>
    <x v="1"/>
    <x v="1"/>
    <x v="333"/>
    <x v="24"/>
    <x v="6"/>
    <x v="273"/>
    <x v="263"/>
    <x v="2"/>
    <x v="1"/>
    <x v="333"/>
    <x v="1"/>
  </r>
  <r>
    <x v="334"/>
    <x v="2"/>
    <x v="3"/>
    <x v="334"/>
    <x v="44"/>
    <x v="8"/>
    <x v="274"/>
    <x v="113"/>
    <x v="1"/>
    <x v="1"/>
    <x v="334"/>
    <x v="5"/>
  </r>
  <r>
    <x v="335"/>
    <x v="3"/>
    <x v="3"/>
    <x v="335"/>
    <x v="13"/>
    <x v="2"/>
    <x v="275"/>
    <x v="264"/>
    <x v="0"/>
    <x v="1"/>
    <x v="335"/>
    <x v="5"/>
  </r>
  <r>
    <x v="336"/>
    <x v="0"/>
    <x v="3"/>
    <x v="336"/>
    <x v="34"/>
    <x v="2"/>
    <x v="276"/>
    <x v="265"/>
    <x v="1"/>
    <x v="2"/>
    <x v="336"/>
    <x v="0"/>
  </r>
  <r>
    <x v="337"/>
    <x v="1"/>
    <x v="3"/>
    <x v="337"/>
    <x v="25"/>
    <x v="2"/>
    <x v="102"/>
    <x v="260"/>
    <x v="1"/>
    <x v="0"/>
    <x v="337"/>
    <x v="5"/>
  </r>
  <r>
    <x v="338"/>
    <x v="2"/>
    <x v="3"/>
    <x v="338"/>
    <x v="0"/>
    <x v="3"/>
    <x v="277"/>
    <x v="266"/>
    <x v="1"/>
    <x v="1"/>
    <x v="338"/>
    <x v="2"/>
  </r>
  <r>
    <x v="339"/>
    <x v="3"/>
    <x v="2"/>
    <x v="339"/>
    <x v="34"/>
    <x v="1"/>
    <x v="63"/>
    <x v="267"/>
    <x v="1"/>
    <x v="2"/>
    <x v="339"/>
    <x v="1"/>
  </r>
  <r>
    <x v="340"/>
    <x v="0"/>
    <x v="4"/>
    <x v="340"/>
    <x v="45"/>
    <x v="2"/>
    <x v="278"/>
    <x v="268"/>
    <x v="1"/>
    <x v="2"/>
    <x v="340"/>
    <x v="3"/>
  </r>
  <r>
    <x v="341"/>
    <x v="1"/>
    <x v="2"/>
    <x v="341"/>
    <x v="17"/>
    <x v="0"/>
    <x v="223"/>
    <x v="219"/>
    <x v="1"/>
    <x v="2"/>
    <x v="341"/>
    <x v="1"/>
  </r>
  <r>
    <x v="342"/>
    <x v="2"/>
    <x v="1"/>
    <x v="342"/>
    <x v="3"/>
    <x v="7"/>
    <x v="279"/>
    <x v="136"/>
    <x v="0"/>
    <x v="2"/>
    <x v="342"/>
    <x v="3"/>
  </r>
  <r>
    <x v="343"/>
    <x v="3"/>
    <x v="0"/>
    <x v="343"/>
    <x v="15"/>
    <x v="5"/>
    <x v="280"/>
    <x v="269"/>
    <x v="2"/>
    <x v="2"/>
    <x v="343"/>
    <x v="0"/>
  </r>
  <r>
    <x v="344"/>
    <x v="0"/>
    <x v="4"/>
    <x v="344"/>
    <x v="39"/>
    <x v="6"/>
    <x v="281"/>
    <x v="36"/>
    <x v="0"/>
    <x v="0"/>
    <x v="344"/>
    <x v="0"/>
  </r>
  <r>
    <x v="345"/>
    <x v="1"/>
    <x v="1"/>
    <x v="345"/>
    <x v="50"/>
    <x v="8"/>
    <x v="232"/>
    <x v="227"/>
    <x v="1"/>
    <x v="0"/>
    <x v="345"/>
    <x v="3"/>
  </r>
  <r>
    <x v="346"/>
    <x v="2"/>
    <x v="2"/>
    <x v="346"/>
    <x v="48"/>
    <x v="4"/>
    <x v="282"/>
    <x v="126"/>
    <x v="1"/>
    <x v="2"/>
    <x v="346"/>
    <x v="0"/>
  </r>
  <r>
    <x v="347"/>
    <x v="3"/>
    <x v="0"/>
    <x v="347"/>
    <x v="6"/>
    <x v="1"/>
    <x v="283"/>
    <x v="270"/>
    <x v="1"/>
    <x v="0"/>
    <x v="347"/>
    <x v="4"/>
  </r>
  <r>
    <x v="348"/>
    <x v="0"/>
    <x v="1"/>
    <x v="348"/>
    <x v="8"/>
    <x v="7"/>
    <x v="186"/>
    <x v="189"/>
    <x v="0"/>
    <x v="2"/>
    <x v="348"/>
    <x v="0"/>
  </r>
  <r>
    <x v="349"/>
    <x v="1"/>
    <x v="0"/>
    <x v="349"/>
    <x v="4"/>
    <x v="3"/>
    <x v="60"/>
    <x v="50"/>
    <x v="1"/>
    <x v="1"/>
    <x v="349"/>
    <x v="5"/>
  </r>
  <r>
    <x v="350"/>
    <x v="2"/>
    <x v="1"/>
    <x v="350"/>
    <x v="23"/>
    <x v="6"/>
    <x v="284"/>
    <x v="56"/>
    <x v="0"/>
    <x v="0"/>
    <x v="350"/>
    <x v="2"/>
  </r>
  <r>
    <x v="351"/>
    <x v="3"/>
    <x v="2"/>
    <x v="351"/>
    <x v="19"/>
    <x v="6"/>
    <x v="175"/>
    <x v="0"/>
    <x v="1"/>
    <x v="0"/>
    <x v="351"/>
    <x v="1"/>
  </r>
  <r>
    <x v="352"/>
    <x v="0"/>
    <x v="0"/>
    <x v="352"/>
    <x v="28"/>
    <x v="2"/>
    <x v="285"/>
    <x v="271"/>
    <x v="1"/>
    <x v="2"/>
    <x v="352"/>
    <x v="1"/>
  </r>
  <r>
    <x v="353"/>
    <x v="1"/>
    <x v="1"/>
    <x v="353"/>
    <x v="30"/>
    <x v="6"/>
    <x v="142"/>
    <x v="272"/>
    <x v="0"/>
    <x v="2"/>
    <x v="353"/>
    <x v="5"/>
  </r>
  <r>
    <x v="354"/>
    <x v="2"/>
    <x v="2"/>
    <x v="354"/>
    <x v="19"/>
    <x v="4"/>
    <x v="161"/>
    <x v="273"/>
    <x v="0"/>
    <x v="0"/>
    <x v="354"/>
    <x v="5"/>
  </r>
  <r>
    <x v="355"/>
    <x v="3"/>
    <x v="4"/>
    <x v="355"/>
    <x v="42"/>
    <x v="2"/>
    <x v="103"/>
    <x v="274"/>
    <x v="0"/>
    <x v="1"/>
    <x v="355"/>
    <x v="0"/>
  </r>
  <r>
    <x v="356"/>
    <x v="0"/>
    <x v="2"/>
    <x v="356"/>
    <x v="49"/>
    <x v="3"/>
    <x v="286"/>
    <x v="275"/>
    <x v="0"/>
    <x v="0"/>
    <x v="356"/>
    <x v="0"/>
  </r>
  <r>
    <x v="357"/>
    <x v="1"/>
    <x v="2"/>
    <x v="357"/>
    <x v="49"/>
    <x v="0"/>
    <x v="287"/>
    <x v="276"/>
    <x v="1"/>
    <x v="0"/>
    <x v="357"/>
    <x v="2"/>
  </r>
  <r>
    <x v="358"/>
    <x v="2"/>
    <x v="4"/>
    <x v="358"/>
    <x v="15"/>
    <x v="0"/>
    <x v="288"/>
    <x v="277"/>
    <x v="1"/>
    <x v="0"/>
    <x v="358"/>
    <x v="1"/>
  </r>
  <r>
    <x v="359"/>
    <x v="3"/>
    <x v="2"/>
    <x v="359"/>
    <x v="18"/>
    <x v="5"/>
    <x v="111"/>
    <x v="278"/>
    <x v="2"/>
    <x v="1"/>
    <x v="359"/>
    <x v="5"/>
  </r>
  <r>
    <x v="360"/>
    <x v="0"/>
    <x v="4"/>
    <x v="360"/>
    <x v="29"/>
    <x v="6"/>
    <x v="289"/>
    <x v="279"/>
    <x v="1"/>
    <x v="1"/>
    <x v="360"/>
    <x v="1"/>
  </r>
  <r>
    <x v="361"/>
    <x v="1"/>
    <x v="4"/>
    <x v="361"/>
    <x v="27"/>
    <x v="8"/>
    <x v="290"/>
    <x v="258"/>
    <x v="1"/>
    <x v="2"/>
    <x v="361"/>
    <x v="2"/>
  </r>
  <r>
    <x v="362"/>
    <x v="2"/>
    <x v="4"/>
    <x v="362"/>
    <x v="49"/>
    <x v="7"/>
    <x v="291"/>
    <x v="280"/>
    <x v="1"/>
    <x v="0"/>
    <x v="362"/>
    <x v="5"/>
  </r>
  <r>
    <x v="363"/>
    <x v="3"/>
    <x v="1"/>
    <x v="363"/>
    <x v="35"/>
    <x v="5"/>
    <x v="227"/>
    <x v="281"/>
    <x v="1"/>
    <x v="2"/>
    <x v="363"/>
    <x v="1"/>
  </r>
  <r>
    <x v="364"/>
    <x v="0"/>
    <x v="0"/>
    <x v="364"/>
    <x v="33"/>
    <x v="1"/>
    <x v="292"/>
    <x v="282"/>
    <x v="1"/>
    <x v="1"/>
    <x v="364"/>
    <x v="2"/>
  </r>
  <r>
    <x v="365"/>
    <x v="1"/>
    <x v="1"/>
    <x v="365"/>
    <x v="39"/>
    <x v="0"/>
    <x v="57"/>
    <x v="54"/>
    <x v="2"/>
    <x v="0"/>
    <x v="365"/>
    <x v="0"/>
  </r>
  <r>
    <x v="366"/>
    <x v="2"/>
    <x v="4"/>
    <x v="366"/>
    <x v="21"/>
    <x v="1"/>
    <x v="217"/>
    <x v="123"/>
    <x v="0"/>
    <x v="0"/>
    <x v="366"/>
    <x v="3"/>
  </r>
  <r>
    <x v="367"/>
    <x v="3"/>
    <x v="0"/>
    <x v="367"/>
    <x v="35"/>
    <x v="1"/>
    <x v="208"/>
    <x v="80"/>
    <x v="1"/>
    <x v="0"/>
    <x v="367"/>
    <x v="5"/>
  </r>
  <r>
    <x v="368"/>
    <x v="0"/>
    <x v="0"/>
    <x v="368"/>
    <x v="5"/>
    <x v="8"/>
    <x v="276"/>
    <x v="265"/>
    <x v="1"/>
    <x v="0"/>
    <x v="368"/>
    <x v="1"/>
  </r>
  <r>
    <x v="369"/>
    <x v="1"/>
    <x v="4"/>
    <x v="369"/>
    <x v="14"/>
    <x v="0"/>
    <x v="293"/>
    <x v="41"/>
    <x v="0"/>
    <x v="2"/>
    <x v="369"/>
    <x v="5"/>
  </r>
  <r>
    <x v="370"/>
    <x v="2"/>
    <x v="0"/>
    <x v="370"/>
    <x v="11"/>
    <x v="0"/>
    <x v="294"/>
    <x v="283"/>
    <x v="0"/>
    <x v="0"/>
    <x v="370"/>
    <x v="4"/>
  </r>
  <r>
    <x v="371"/>
    <x v="3"/>
    <x v="0"/>
    <x v="371"/>
    <x v="22"/>
    <x v="4"/>
    <x v="35"/>
    <x v="41"/>
    <x v="2"/>
    <x v="1"/>
    <x v="371"/>
    <x v="4"/>
  </r>
  <r>
    <x v="372"/>
    <x v="0"/>
    <x v="1"/>
    <x v="372"/>
    <x v="6"/>
    <x v="0"/>
    <x v="139"/>
    <x v="284"/>
    <x v="2"/>
    <x v="2"/>
    <x v="372"/>
    <x v="0"/>
  </r>
  <r>
    <x v="373"/>
    <x v="1"/>
    <x v="0"/>
    <x v="373"/>
    <x v="44"/>
    <x v="3"/>
    <x v="71"/>
    <x v="285"/>
    <x v="2"/>
    <x v="0"/>
    <x v="373"/>
    <x v="3"/>
  </r>
  <r>
    <x v="374"/>
    <x v="2"/>
    <x v="4"/>
    <x v="374"/>
    <x v="48"/>
    <x v="1"/>
    <x v="295"/>
    <x v="286"/>
    <x v="0"/>
    <x v="2"/>
    <x v="374"/>
    <x v="5"/>
  </r>
  <r>
    <x v="375"/>
    <x v="3"/>
    <x v="3"/>
    <x v="375"/>
    <x v="31"/>
    <x v="1"/>
    <x v="296"/>
    <x v="287"/>
    <x v="1"/>
    <x v="2"/>
    <x v="375"/>
    <x v="5"/>
  </r>
  <r>
    <x v="376"/>
    <x v="0"/>
    <x v="3"/>
    <x v="376"/>
    <x v="19"/>
    <x v="5"/>
    <x v="297"/>
    <x v="288"/>
    <x v="0"/>
    <x v="0"/>
    <x v="376"/>
    <x v="4"/>
  </r>
  <r>
    <x v="377"/>
    <x v="1"/>
    <x v="3"/>
    <x v="377"/>
    <x v="40"/>
    <x v="7"/>
    <x v="298"/>
    <x v="289"/>
    <x v="1"/>
    <x v="1"/>
    <x v="377"/>
    <x v="2"/>
  </r>
  <r>
    <x v="378"/>
    <x v="2"/>
    <x v="4"/>
    <x v="378"/>
    <x v="29"/>
    <x v="3"/>
    <x v="299"/>
    <x v="290"/>
    <x v="0"/>
    <x v="0"/>
    <x v="378"/>
    <x v="5"/>
  </r>
  <r>
    <x v="379"/>
    <x v="3"/>
    <x v="3"/>
    <x v="379"/>
    <x v="44"/>
    <x v="3"/>
    <x v="300"/>
    <x v="291"/>
    <x v="0"/>
    <x v="0"/>
    <x v="379"/>
    <x v="5"/>
  </r>
  <r>
    <x v="380"/>
    <x v="0"/>
    <x v="1"/>
    <x v="380"/>
    <x v="7"/>
    <x v="2"/>
    <x v="301"/>
    <x v="210"/>
    <x v="0"/>
    <x v="1"/>
    <x v="380"/>
    <x v="3"/>
  </r>
  <r>
    <x v="381"/>
    <x v="1"/>
    <x v="4"/>
    <x v="381"/>
    <x v="1"/>
    <x v="0"/>
    <x v="302"/>
    <x v="292"/>
    <x v="0"/>
    <x v="0"/>
    <x v="381"/>
    <x v="1"/>
  </r>
  <r>
    <x v="382"/>
    <x v="2"/>
    <x v="4"/>
    <x v="382"/>
    <x v="24"/>
    <x v="4"/>
    <x v="303"/>
    <x v="293"/>
    <x v="1"/>
    <x v="1"/>
    <x v="382"/>
    <x v="2"/>
  </r>
  <r>
    <x v="383"/>
    <x v="3"/>
    <x v="4"/>
    <x v="383"/>
    <x v="24"/>
    <x v="6"/>
    <x v="210"/>
    <x v="135"/>
    <x v="1"/>
    <x v="2"/>
    <x v="383"/>
    <x v="1"/>
  </r>
  <r>
    <x v="384"/>
    <x v="0"/>
    <x v="0"/>
    <x v="384"/>
    <x v="6"/>
    <x v="3"/>
    <x v="304"/>
    <x v="294"/>
    <x v="1"/>
    <x v="1"/>
    <x v="384"/>
    <x v="0"/>
  </r>
  <r>
    <x v="385"/>
    <x v="1"/>
    <x v="0"/>
    <x v="385"/>
    <x v="13"/>
    <x v="3"/>
    <x v="15"/>
    <x v="295"/>
    <x v="1"/>
    <x v="2"/>
    <x v="385"/>
    <x v="1"/>
  </r>
  <r>
    <x v="386"/>
    <x v="2"/>
    <x v="0"/>
    <x v="386"/>
    <x v="49"/>
    <x v="7"/>
    <x v="305"/>
    <x v="296"/>
    <x v="2"/>
    <x v="1"/>
    <x v="386"/>
    <x v="0"/>
  </r>
  <r>
    <x v="387"/>
    <x v="3"/>
    <x v="2"/>
    <x v="387"/>
    <x v="50"/>
    <x v="3"/>
    <x v="306"/>
    <x v="196"/>
    <x v="2"/>
    <x v="2"/>
    <x v="387"/>
    <x v="3"/>
  </r>
  <r>
    <x v="388"/>
    <x v="0"/>
    <x v="1"/>
    <x v="388"/>
    <x v="49"/>
    <x v="8"/>
    <x v="307"/>
    <x v="297"/>
    <x v="0"/>
    <x v="1"/>
    <x v="388"/>
    <x v="0"/>
  </r>
  <r>
    <x v="389"/>
    <x v="1"/>
    <x v="4"/>
    <x v="389"/>
    <x v="30"/>
    <x v="0"/>
    <x v="308"/>
    <x v="201"/>
    <x v="1"/>
    <x v="2"/>
    <x v="389"/>
    <x v="2"/>
  </r>
  <r>
    <x v="390"/>
    <x v="2"/>
    <x v="4"/>
    <x v="390"/>
    <x v="24"/>
    <x v="4"/>
    <x v="137"/>
    <x v="141"/>
    <x v="1"/>
    <x v="0"/>
    <x v="390"/>
    <x v="3"/>
  </r>
  <r>
    <x v="391"/>
    <x v="3"/>
    <x v="0"/>
    <x v="391"/>
    <x v="23"/>
    <x v="5"/>
    <x v="309"/>
    <x v="298"/>
    <x v="0"/>
    <x v="1"/>
    <x v="391"/>
    <x v="5"/>
  </r>
  <r>
    <x v="392"/>
    <x v="0"/>
    <x v="4"/>
    <x v="392"/>
    <x v="15"/>
    <x v="7"/>
    <x v="268"/>
    <x v="260"/>
    <x v="0"/>
    <x v="1"/>
    <x v="392"/>
    <x v="4"/>
  </r>
  <r>
    <x v="393"/>
    <x v="1"/>
    <x v="4"/>
    <x v="393"/>
    <x v="30"/>
    <x v="4"/>
    <x v="310"/>
    <x v="299"/>
    <x v="0"/>
    <x v="2"/>
    <x v="393"/>
    <x v="5"/>
  </r>
  <r>
    <x v="394"/>
    <x v="2"/>
    <x v="3"/>
    <x v="394"/>
    <x v="27"/>
    <x v="3"/>
    <x v="311"/>
    <x v="119"/>
    <x v="1"/>
    <x v="1"/>
    <x v="394"/>
    <x v="3"/>
  </r>
  <r>
    <x v="395"/>
    <x v="3"/>
    <x v="4"/>
    <x v="395"/>
    <x v="18"/>
    <x v="7"/>
    <x v="99"/>
    <x v="300"/>
    <x v="1"/>
    <x v="1"/>
    <x v="395"/>
    <x v="2"/>
  </r>
  <r>
    <x v="396"/>
    <x v="0"/>
    <x v="2"/>
    <x v="396"/>
    <x v="43"/>
    <x v="6"/>
    <x v="171"/>
    <x v="301"/>
    <x v="1"/>
    <x v="1"/>
    <x v="396"/>
    <x v="1"/>
  </r>
  <r>
    <x v="397"/>
    <x v="1"/>
    <x v="0"/>
    <x v="397"/>
    <x v="10"/>
    <x v="0"/>
    <x v="312"/>
    <x v="302"/>
    <x v="2"/>
    <x v="1"/>
    <x v="397"/>
    <x v="2"/>
  </r>
  <r>
    <x v="398"/>
    <x v="2"/>
    <x v="1"/>
    <x v="398"/>
    <x v="3"/>
    <x v="5"/>
    <x v="225"/>
    <x v="303"/>
    <x v="0"/>
    <x v="1"/>
    <x v="398"/>
    <x v="3"/>
  </r>
  <r>
    <x v="399"/>
    <x v="3"/>
    <x v="1"/>
    <x v="399"/>
    <x v="10"/>
    <x v="7"/>
    <x v="313"/>
    <x v="304"/>
    <x v="1"/>
    <x v="2"/>
    <x v="399"/>
    <x v="0"/>
  </r>
  <r>
    <x v="400"/>
    <x v="0"/>
    <x v="3"/>
    <x v="400"/>
    <x v="19"/>
    <x v="4"/>
    <x v="87"/>
    <x v="305"/>
    <x v="0"/>
    <x v="1"/>
    <x v="400"/>
    <x v="1"/>
  </r>
  <r>
    <x v="401"/>
    <x v="1"/>
    <x v="1"/>
    <x v="401"/>
    <x v="6"/>
    <x v="4"/>
    <x v="314"/>
    <x v="306"/>
    <x v="2"/>
    <x v="0"/>
    <x v="401"/>
    <x v="4"/>
  </r>
  <r>
    <x v="402"/>
    <x v="2"/>
    <x v="1"/>
    <x v="402"/>
    <x v="45"/>
    <x v="3"/>
    <x v="315"/>
    <x v="305"/>
    <x v="0"/>
    <x v="0"/>
    <x v="402"/>
    <x v="1"/>
  </r>
  <r>
    <x v="403"/>
    <x v="3"/>
    <x v="0"/>
    <x v="403"/>
    <x v="48"/>
    <x v="1"/>
    <x v="253"/>
    <x v="307"/>
    <x v="1"/>
    <x v="0"/>
    <x v="403"/>
    <x v="0"/>
  </r>
  <r>
    <x v="404"/>
    <x v="0"/>
    <x v="0"/>
    <x v="404"/>
    <x v="4"/>
    <x v="1"/>
    <x v="288"/>
    <x v="214"/>
    <x v="0"/>
    <x v="2"/>
    <x v="404"/>
    <x v="1"/>
  </r>
  <r>
    <x v="405"/>
    <x v="1"/>
    <x v="2"/>
    <x v="405"/>
    <x v="44"/>
    <x v="5"/>
    <x v="316"/>
    <x v="308"/>
    <x v="1"/>
    <x v="1"/>
    <x v="405"/>
    <x v="0"/>
  </r>
  <r>
    <x v="406"/>
    <x v="2"/>
    <x v="3"/>
    <x v="406"/>
    <x v="31"/>
    <x v="2"/>
    <x v="317"/>
    <x v="309"/>
    <x v="2"/>
    <x v="1"/>
    <x v="406"/>
    <x v="5"/>
  </r>
  <r>
    <x v="407"/>
    <x v="3"/>
    <x v="1"/>
    <x v="407"/>
    <x v="16"/>
    <x v="4"/>
    <x v="205"/>
    <x v="310"/>
    <x v="2"/>
    <x v="1"/>
    <x v="407"/>
    <x v="2"/>
  </r>
  <r>
    <x v="408"/>
    <x v="0"/>
    <x v="2"/>
    <x v="408"/>
    <x v="41"/>
    <x v="0"/>
    <x v="69"/>
    <x v="246"/>
    <x v="1"/>
    <x v="1"/>
    <x v="408"/>
    <x v="2"/>
  </r>
  <r>
    <x v="409"/>
    <x v="1"/>
    <x v="3"/>
    <x v="409"/>
    <x v="46"/>
    <x v="2"/>
    <x v="234"/>
    <x v="79"/>
    <x v="2"/>
    <x v="2"/>
    <x v="409"/>
    <x v="0"/>
  </r>
  <r>
    <x v="410"/>
    <x v="2"/>
    <x v="1"/>
    <x v="410"/>
    <x v="39"/>
    <x v="7"/>
    <x v="205"/>
    <x v="204"/>
    <x v="0"/>
    <x v="0"/>
    <x v="410"/>
    <x v="5"/>
  </r>
  <r>
    <x v="411"/>
    <x v="3"/>
    <x v="1"/>
    <x v="411"/>
    <x v="37"/>
    <x v="6"/>
    <x v="18"/>
    <x v="18"/>
    <x v="2"/>
    <x v="2"/>
    <x v="411"/>
    <x v="0"/>
  </r>
  <r>
    <x v="412"/>
    <x v="0"/>
    <x v="0"/>
    <x v="412"/>
    <x v="46"/>
    <x v="8"/>
    <x v="318"/>
    <x v="311"/>
    <x v="2"/>
    <x v="1"/>
    <x v="412"/>
    <x v="1"/>
  </r>
  <r>
    <x v="413"/>
    <x v="1"/>
    <x v="4"/>
    <x v="413"/>
    <x v="12"/>
    <x v="5"/>
    <x v="319"/>
    <x v="312"/>
    <x v="2"/>
    <x v="1"/>
    <x v="413"/>
    <x v="2"/>
  </r>
  <r>
    <x v="414"/>
    <x v="2"/>
    <x v="3"/>
    <x v="414"/>
    <x v="29"/>
    <x v="6"/>
    <x v="320"/>
    <x v="313"/>
    <x v="2"/>
    <x v="1"/>
    <x v="414"/>
    <x v="2"/>
  </r>
  <r>
    <x v="415"/>
    <x v="3"/>
    <x v="1"/>
    <x v="415"/>
    <x v="2"/>
    <x v="7"/>
    <x v="321"/>
    <x v="145"/>
    <x v="1"/>
    <x v="0"/>
    <x v="415"/>
    <x v="4"/>
  </r>
  <r>
    <x v="416"/>
    <x v="0"/>
    <x v="3"/>
    <x v="416"/>
    <x v="32"/>
    <x v="5"/>
    <x v="322"/>
    <x v="314"/>
    <x v="2"/>
    <x v="1"/>
    <x v="416"/>
    <x v="0"/>
  </r>
  <r>
    <x v="417"/>
    <x v="1"/>
    <x v="2"/>
    <x v="417"/>
    <x v="41"/>
    <x v="2"/>
    <x v="167"/>
    <x v="315"/>
    <x v="1"/>
    <x v="1"/>
    <x v="417"/>
    <x v="3"/>
  </r>
  <r>
    <x v="418"/>
    <x v="2"/>
    <x v="2"/>
    <x v="418"/>
    <x v="21"/>
    <x v="2"/>
    <x v="323"/>
    <x v="316"/>
    <x v="1"/>
    <x v="2"/>
    <x v="418"/>
    <x v="5"/>
  </r>
  <r>
    <x v="419"/>
    <x v="3"/>
    <x v="4"/>
    <x v="419"/>
    <x v="14"/>
    <x v="6"/>
    <x v="324"/>
    <x v="317"/>
    <x v="1"/>
    <x v="1"/>
    <x v="419"/>
    <x v="0"/>
  </r>
  <r>
    <x v="420"/>
    <x v="0"/>
    <x v="1"/>
    <x v="420"/>
    <x v="0"/>
    <x v="6"/>
    <x v="325"/>
    <x v="318"/>
    <x v="0"/>
    <x v="0"/>
    <x v="420"/>
    <x v="5"/>
  </r>
  <r>
    <x v="421"/>
    <x v="1"/>
    <x v="0"/>
    <x v="421"/>
    <x v="19"/>
    <x v="2"/>
    <x v="209"/>
    <x v="319"/>
    <x v="0"/>
    <x v="2"/>
    <x v="421"/>
    <x v="1"/>
  </r>
  <r>
    <x v="422"/>
    <x v="2"/>
    <x v="1"/>
    <x v="422"/>
    <x v="43"/>
    <x v="4"/>
    <x v="326"/>
    <x v="181"/>
    <x v="1"/>
    <x v="1"/>
    <x v="422"/>
    <x v="5"/>
  </r>
  <r>
    <x v="423"/>
    <x v="3"/>
    <x v="3"/>
    <x v="423"/>
    <x v="20"/>
    <x v="1"/>
    <x v="155"/>
    <x v="320"/>
    <x v="0"/>
    <x v="0"/>
    <x v="423"/>
    <x v="0"/>
  </r>
  <r>
    <x v="424"/>
    <x v="0"/>
    <x v="2"/>
    <x v="424"/>
    <x v="16"/>
    <x v="0"/>
    <x v="86"/>
    <x v="321"/>
    <x v="2"/>
    <x v="2"/>
    <x v="424"/>
    <x v="3"/>
  </r>
  <r>
    <x v="425"/>
    <x v="1"/>
    <x v="3"/>
    <x v="425"/>
    <x v="48"/>
    <x v="3"/>
    <x v="327"/>
    <x v="322"/>
    <x v="0"/>
    <x v="1"/>
    <x v="425"/>
    <x v="5"/>
  </r>
  <r>
    <x v="426"/>
    <x v="2"/>
    <x v="4"/>
    <x v="426"/>
    <x v="40"/>
    <x v="3"/>
    <x v="263"/>
    <x v="323"/>
    <x v="2"/>
    <x v="1"/>
    <x v="426"/>
    <x v="1"/>
  </r>
  <r>
    <x v="427"/>
    <x v="3"/>
    <x v="2"/>
    <x v="427"/>
    <x v="26"/>
    <x v="0"/>
    <x v="319"/>
    <x v="312"/>
    <x v="0"/>
    <x v="2"/>
    <x v="427"/>
    <x v="1"/>
  </r>
  <r>
    <x v="428"/>
    <x v="0"/>
    <x v="0"/>
    <x v="428"/>
    <x v="24"/>
    <x v="4"/>
    <x v="328"/>
    <x v="324"/>
    <x v="1"/>
    <x v="0"/>
    <x v="428"/>
    <x v="1"/>
  </r>
  <r>
    <x v="429"/>
    <x v="1"/>
    <x v="2"/>
    <x v="429"/>
    <x v="12"/>
    <x v="0"/>
    <x v="79"/>
    <x v="80"/>
    <x v="1"/>
    <x v="2"/>
    <x v="429"/>
    <x v="0"/>
  </r>
  <r>
    <x v="430"/>
    <x v="2"/>
    <x v="1"/>
    <x v="430"/>
    <x v="2"/>
    <x v="1"/>
    <x v="108"/>
    <x v="325"/>
    <x v="0"/>
    <x v="2"/>
    <x v="430"/>
    <x v="2"/>
  </r>
  <r>
    <x v="431"/>
    <x v="3"/>
    <x v="1"/>
    <x v="431"/>
    <x v="20"/>
    <x v="0"/>
    <x v="12"/>
    <x v="326"/>
    <x v="2"/>
    <x v="0"/>
    <x v="431"/>
    <x v="0"/>
  </r>
  <r>
    <x v="432"/>
    <x v="0"/>
    <x v="2"/>
    <x v="432"/>
    <x v="10"/>
    <x v="4"/>
    <x v="329"/>
    <x v="279"/>
    <x v="2"/>
    <x v="0"/>
    <x v="432"/>
    <x v="4"/>
  </r>
  <r>
    <x v="433"/>
    <x v="1"/>
    <x v="4"/>
    <x v="433"/>
    <x v="38"/>
    <x v="7"/>
    <x v="330"/>
    <x v="108"/>
    <x v="1"/>
    <x v="1"/>
    <x v="433"/>
    <x v="4"/>
  </r>
  <r>
    <x v="434"/>
    <x v="2"/>
    <x v="1"/>
    <x v="434"/>
    <x v="15"/>
    <x v="0"/>
    <x v="331"/>
    <x v="262"/>
    <x v="2"/>
    <x v="2"/>
    <x v="434"/>
    <x v="5"/>
  </r>
  <r>
    <x v="435"/>
    <x v="3"/>
    <x v="1"/>
    <x v="435"/>
    <x v="27"/>
    <x v="6"/>
    <x v="280"/>
    <x v="327"/>
    <x v="1"/>
    <x v="1"/>
    <x v="435"/>
    <x v="5"/>
  </r>
  <r>
    <x v="436"/>
    <x v="0"/>
    <x v="0"/>
    <x v="436"/>
    <x v="46"/>
    <x v="2"/>
    <x v="78"/>
    <x v="79"/>
    <x v="0"/>
    <x v="0"/>
    <x v="436"/>
    <x v="2"/>
  </r>
  <r>
    <x v="437"/>
    <x v="1"/>
    <x v="2"/>
    <x v="437"/>
    <x v="22"/>
    <x v="3"/>
    <x v="332"/>
    <x v="199"/>
    <x v="0"/>
    <x v="2"/>
    <x v="437"/>
    <x v="1"/>
  </r>
  <r>
    <x v="438"/>
    <x v="2"/>
    <x v="1"/>
    <x v="438"/>
    <x v="43"/>
    <x v="1"/>
    <x v="289"/>
    <x v="328"/>
    <x v="0"/>
    <x v="2"/>
    <x v="438"/>
    <x v="5"/>
  </r>
  <r>
    <x v="439"/>
    <x v="3"/>
    <x v="4"/>
    <x v="439"/>
    <x v="26"/>
    <x v="0"/>
    <x v="333"/>
    <x v="71"/>
    <x v="1"/>
    <x v="2"/>
    <x v="439"/>
    <x v="4"/>
  </r>
  <r>
    <x v="440"/>
    <x v="0"/>
    <x v="3"/>
    <x v="440"/>
    <x v="20"/>
    <x v="2"/>
    <x v="334"/>
    <x v="329"/>
    <x v="0"/>
    <x v="0"/>
    <x v="440"/>
    <x v="4"/>
  </r>
  <r>
    <x v="441"/>
    <x v="1"/>
    <x v="2"/>
    <x v="441"/>
    <x v="49"/>
    <x v="5"/>
    <x v="244"/>
    <x v="330"/>
    <x v="2"/>
    <x v="0"/>
    <x v="441"/>
    <x v="5"/>
  </r>
  <r>
    <x v="442"/>
    <x v="2"/>
    <x v="0"/>
    <x v="442"/>
    <x v="2"/>
    <x v="1"/>
    <x v="329"/>
    <x v="331"/>
    <x v="1"/>
    <x v="2"/>
    <x v="442"/>
    <x v="2"/>
  </r>
  <r>
    <x v="443"/>
    <x v="3"/>
    <x v="1"/>
    <x v="443"/>
    <x v="36"/>
    <x v="5"/>
    <x v="335"/>
    <x v="332"/>
    <x v="2"/>
    <x v="2"/>
    <x v="443"/>
    <x v="0"/>
  </r>
  <r>
    <x v="444"/>
    <x v="0"/>
    <x v="4"/>
    <x v="444"/>
    <x v="43"/>
    <x v="8"/>
    <x v="31"/>
    <x v="113"/>
    <x v="0"/>
    <x v="0"/>
    <x v="444"/>
    <x v="5"/>
  </r>
  <r>
    <x v="445"/>
    <x v="1"/>
    <x v="2"/>
    <x v="445"/>
    <x v="28"/>
    <x v="0"/>
    <x v="336"/>
    <x v="333"/>
    <x v="1"/>
    <x v="0"/>
    <x v="445"/>
    <x v="4"/>
  </r>
  <r>
    <x v="446"/>
    <x v="2"/>
    <x v="4"/>
    <x v="446"/>
    <x v="16"/>
    <x v="3"/>
    <x v="337"/>
    <x v="334"/>
    <x v="1"/>
    <x v="0"/>
    <x v="446"/>
    <x v="5"/>
  </r>
  <r>
    <x v="447"/>
    <x v="3"/>
    <x v="4"/>
    <x v="447"/>
    <x v="25"/>
    <x v="1"/>
    <x v="338"/>
    <x v="335"/>
    <x v="1"/>
    <x v="2"/>
    <x v="447"/>
    <x v="1"/>
  </r>
  <r>
    <x v="448"/>
    <x v="0"/>
    <x v="0"/>
    <x v="448"/>
    <x v="0"/>
    <x v="3"/>
    <x v="160"/>
    <x v="336"/>
    <x v="0"/>
    <x v="1"/>
    <x v="448"/>
    <x v="3"/>
  </r>
  <r>
    <x v="449"/>
    <x v="1"/>
    <x v="2"/>
    <x v="449"/>
    <x v="27"/>
    <x v="1"/>
    <x v="83"/>
    <x v="337"/>
    <x v="1"/>
    <x v="1"/>
    <x v="449"/>
    <x v="3"/>
  </r>
  <r>
    <x v="450"/>
    <x v="2"/>
    <x v="1"/>
    <x v="450"/>
    <x v="19"/>
    <x v="8"/>
    <x v="339"/>
    <x v="227"/>
    <x v="1"/>
    <x v="2"/>
    <x v="450"/>
    <x v="2"/>
  </r>
  <r>
    <x v="451"/>
    <x v="3"/>
    <x v="0"/>
    <x v="451"/>
    <x v="26"/>
    <x v="4"/>
    <x v="340"/>
    <x v="338"/>
    <x v="0"/>
    <x v="1"/>
    <x v="451"/>
    <x v="5"/>
  </r>
  <r>
    <x v="452"/>
    <x v="0"/>
    <x v="1"/>
    <x v="452"/>
    <x v="6"/>
    <x v="6"/>
    <x v="56"/>
    <x v="339"/>
    <x v="0"/>
    <x v="2"/>
    <x v="452"/>
    <x v="0"/>
  </r>
  <r>
    <x v="453"/>
    <x v="1"/>
    <x v="3"/>
    <x v="453"/>
    <x v="26"/>
    <x v="3"/>
    <x v="341"/>
    <x v="340"/>
    <x v="2"/>
    <x v="1"/>
    <x v="453"/>
    <x v="0"/>
  </r>
  <r>
    <x v="454"/>
    <x v="2"/>
    <x v="4"/>
    <x v="454"/>
    <x v="40"/>
    <x v="6"/>
    <x v="342"/>
    <x v="186"/>
    <x v="2"/>
    <x v="2"/>
    <x v="454"/>
    <x v="4"/>
  </r>
  <r>
    <x v="455"/>
    <x v="3"/>
    <x v="3"/>
    <x v="455"/>
    <x v="32"/>
    <x v="0"/>
    <x v="343"/>
    <x v="341"/>
    <x v="2"/>
    <x v="0"/>
    <x v="455"/>
    <x v="3"/>
  </r>
  <r>
    <x v="456"/>
    <x v="0"/>
    <x v="4"/>
    <x v="456"/>
    <x v="12"/>
    <x v="4"/>
    <x v="320"/>
    <x v="231"/>
    <x v="1"/>
    <x v="1"/>
    <x v="456"/>
    <x v="5"/>
  </r>
  <r>
    <x v="457"/>
    <x v="1"/>
    <x v="0"/>
    <x v="457"/>
    <x v="6"/>
    <x v="7"/>
    <x v="344"/>
    <x v="242"/>
    <x v="0"/>
    <x v="1"/>
    <x v="457"/>
    <x v="0"/>
  </r>
  <r>
    <x v="458"/>
    <x v="2"/>
    <x v="1"/>
    <x v="458"/>
    <x v="7"/>
    <x v="0"/>
    <x v="345"/>
    <x v="26"/>
    <x v="2"/>
    <x v="0"/>
    <x v="458"/>
    <x v="1"/>
  </r>
  <r>
    <x v="459"/>
    <x v="3"/>
    <x v="1"/>
    <x v="459"/>
    <x v="31"/>
    <x v="1"/>
    <x v="270"/>
    <x v="130"/>
    <x v="2"/>
    <x v="1"/>
    <x v="459"/>
    <x v="5"/>
  </r>
  <r>
    <x v="460"/>
    <x v="0"/>
    <x v="0"/>
    <x v="460"/>
    <x v="45"/>
    <x v="6"/>
    <x v="346"/>
    <x v="106"/>
    <x v="0"/>
    <x v="2"/>
    <x v="460"/>
    <x v="0"/>
  </r>
  <r>
    <x v="461"/>
    <x v="1"/>
    <x v="2"/>
    <x v="461"/>
    <x v="27"/>
    <x v="5"/>
    <x v="200"/>
    <x v="182"/>
    <x v="1"/>
    <x v="2"/>
    <x v="461"/>
    <x v="4"/>
  </r>
  <r>
    <x v="462"/>
    <x v="2"/>
    <x v="3"/>
    <x v="462"/>
    <x v="14"/>
    <x v="2"/>
    <x v="347"/>
    <x v="317"/>
    <x v="0"/>
    <x v="0"/>
    <x v="462"/>
    <x v="0"/>
  </r>
  <r>
    <x v="463"/>
    <x v="3"/>
    <x v="3"/>
    <x v="463"/>
    <x v="8"/>
    <x v="8"/>
    <x v="304"/>
    <x v="16"/>
    <x v="0"/>
    <x v="1"/>
    <x v="463"/>
    <x v="2"/>
  </r>
  <r>
    <x v="464"/>
    <x v="0"/>
    <x v="1"/>
    <x v="464"/>
    <x v="48"/>
    <x v="6"/>
    <x v="338"/>
    <x v="98"/>
    <x v="0"/>
    <x v="2"/>
    <x v="464"/>
    <x v="5"/>
  </r>
  <r>
    <x v="465"/>
    <x v="1"/>
    <x v="1"/>
    <x v="465"/>
    <x v="5"/>
    <x v="7"/>
    <x v="25"/>
    <x v="342"/>
    <x v="1"/>
    <x v="0"/>
    <x v="465"/>
    <x v="1"/>
  </r>
  <r>
    <x v="466"/>
    <x v="2"/>
    <x v="1"/>
    <x v="466"/>
    <x v="30"/>
    <x v="4"/>
    <x v="348"/>
    <x v="343"/>
    <x v="2"/>
    <x v="1"/>
    <x v="466"/>
    <x v="5"/>
  </r>
  <r>
    <x v="467"/>
    <x v="3"/>
    <x v="0"/>
    <x v="467"/>
    <x v="47"/>
    <x v="6"/>
    <x v="20"/>
    <x v="344"/>
    <x v="2"/>
    <x v="2"/>
    <x v="467"/>
    <x v="1"/>
  </r>
  <r>
    <x v="468"/>
    <x v="0"/>
    <x v="2"/>
    <x v="468"/>
    <x v="41"/>
    <x v="1"/>
    <x v="349"/>
    <x v="160"/>
    <x v="1"/>
    <x v="1"/>
    <x v="468"/>
    <x v="4"/>
  </r>
  <r>
    <x v="469"/>
    <x v="1"/>
    <x v="3"/>
    <x v="469"/>
    <x v="11"/>
    <x v="1"/>
    <x v="121"/>
    <x v="345"/>
    <x v="0"/>
    <x v="1"/>
    <x v="469"/>
    <x v="2"/>
  </r>
  <r>
    <x v="470"/>
    <x v="2"/>
    <x v="4"/>
    <x v="470"/>
    <x v="11"/>
    <x v="2"/>
    <x v="141"/>
    <x v="346"/>
    <x v="0"/>
    <x v="2"/>
    <x v="470"/>
    <x v="5"/>
  </r>
  <r>
    <x v="471"/>
    <x v="3"/>
    <x v="0"/>
    <x v="471"/>
    <x v="29"/>
    <x v="6"/>
    <x v="350"/>
    <x v="347"/>
    <x v="2"/>
    <x v="1"/>
    <x v="471"/>
    <x v="4"/>
  </r>
  <r>
    <x v="472"/>
    <x v="0"/>
    <x v="3"/>
    <x v="472"/>
    <x v="29"/>
    <x v="7"/>
    <x v="274"/>
    <x v="315"/>
    <x v="2"/>
    <x v="2"/>
    <x v="472"/>
    <x v="1"/>
  </r>
  <r>
    <x v="473"/>
    <x v="1"/>
    <x v="2"/>
    <x v="473"/>
    <x v="13"/>
    <x v="6"/>
    <x v="134"/>
    <x v="348"/>
    <x v="0"/>
    <x v="2"/>
    <x v="473"/>
    <x v="3"/>
  </r>
  <r>
    <x v="474"/>
    <x v="2"/>
    <x v="0"/>
    <x v="474"/>
    <x v="14"/>
    <x v="0"/>
    <x v="78"/>
    <x v="232"/>
    <x v="1"/>
    <x v="2"/>
    <x v="474"/>
    <x v="0"/>
  </r>
  <r>
    <x v="475"/>
    <x v="3"/>
    <x v="3"/>
    <x v="475"/>
    <x v="4"/>
    <x v="6"/>
    <x v="176"/>
    <x v="349"/>
    <x v="2"/>
    <x v="0"/>
    <x v="475"/>
    <x v="5"/>
  </r>
  <r>
    <x v="476"/>
    <x v="0"/>
    <x v="0"/>
    <x v="476"/>
    <x v="12"/>
    <x v="6"/>
    <x v="351"/>
    <x v="350"/>
    <x v="1"/>
    <x v="0"/>
    <x v="476"/>
    <x v="2"/>
  </r>
  <r>
    <x v="477"/>
    <x v="1"/>
    <x v="3"/>
    <x v="477"/>
    <x v="25"/>
    <x v="1"/>
    <x v="352"/>
    <x v="351"/>
    <x v="1"/>
    <x v="1"/>
    <x v="477"/>
    <x v="4"/>
  </r>
  <r>
    <x v="478"/>
    <x v="2"/>
    <x v="3"/>
    <x v="478"/>
    <x v="0"/>
    <x v="5"/>
    <x v="141"/>
    <x v="281"/>
    <x v="0"/>
    <x v="2"/>
    <x v="478"/>
    <x v="4"/>
  </r>
  <r>
    <x v="479"/>
    <x v="3"/>
    <x v="2"/>
    <x v="479"/>
    <x v="11"/>
    <x v="7"/>
    <x v="353"/>
    <x v="352"/>
    <x v="1"/>
    <x v="2"/>
    <x v="479"/>
    <x v="5"/>
  </r>
  <r>
    <x v="480"/>
    <x v="0"/>
    <x v="4"/>
    <x v="480"/>
    <x v="34"/>
    <x v="6"/>
    <x v="197"/>
    <x v="353"/>
    <x v="0"/>
    <x v="2"/>
    <x v="480"/>
    <x v="5"/>
  </r>
  <r>
    <x v="481"/>
    <x v="1"/>
    <x v="2"/>
    <x v="481"/>
    <x v="6"/>
    <x v="0"/>
    <x v="95"/>
    <x v="302"/>
    <x v="1"/>
    <x v="0"/>
    <x v="481"/>
    <x v="3"/>
  </r>
  <r>
    <x v="482"/>
    <x v="2"/>
    <x v="3"/>
    <x v="482"/>
    <x v="37"/>
    <x v="5"/>
    <x v="80"/>
    <x v="244"/>
    <x v="2"/>
    <x v="2"/>
    <x v="482"/>
    <x v="5"/>
  </r>
  <r>
    <x v="483"/>
    <x v="3"/>
    <x v="0"/>
    <x v="483"/>
    <x v="49"/>
    <x v="6"/>
    <x v="308"/>
    <x v="201"/>
    <x v="0"/>
    <x v="1"/>
    <x v="483"/>
    <x v="0"/>
  </r>
  <r>
    <x v="484"/>
    <x v="0"/>
    <x v="2"/>
    <x v="484"/>
    <x v="27"/>
    <x v="7"/>
    <x v="284"/>
    <x v="350"/>
    <x v="0"/>
    <x v="1"/>
    <x v="484"/>
    <x v="5"/>
  </r>
  <r>
    <x v="485"/>
    <x v="1"/>
    <x v="4"/>
    <x v="485"/>
    <x v="8"/>
    <x v="3"/>
    <x v="354"/>
    <x v="354"/>
    <x v="0"/>
    <x v="2"/>
    <x v="485"/>
    <x v="5"/>
  </r>
  <r>
    <x v="486"/>
    <x v="2"/>
    <x v="3"/>
    <x v="486"/>
    <x v="44"/>
    <x v="4"/>
    <x v="222"/>
    <x v="3"/>
    <x v="0"/>
    <x v="1"/>
    <x v="486"/>
    <x v="2"/>
  </r>
  <r>
    <x v="487"/>
    <x v="3"/>
    <x v="2"/>
    <x v="487"/>
    <x v="31"/>
    <x v="8"/>
    <x v="355"/>
    <x v="355"/>
    <x v="2"/>
    <x v="1"/>
    <x v="487"/>
    <x v="3"/>
  </r>
  <r>
    <x v="488"/>
    <x v="0"/>
    <x v="2"/>
    <x v="488"/>
    <x v="34"/>
    <x v="2"/>
    <x v="347"/>
    <x v="356"/>
    <x v="0"/>
    <x v="1"/>
    <x v="488"/>
    <x v="2"/>
  </r>
  <r>
    <x v="489"/>
    <x v="1"/>
    <x v="2"/>
    <x v="489"/>
    <x v="42"/>
    <x v="2"/>
    <x v="356"/>
    <x v="357"/>
    <x v="0"/>
    <x v="2"/>
    <x v="489"/>
    <x v="1"/>
  </r>
  <r>
    <x v="490"/>
    <x v="2"/>
    <x v="2"/>
    <x v="490"/>
    <x v="18"/>
    <x v="7"/>
    <x v="357"/>
    <x v="244"/>
    <x v="2"/>
    <x v="2"/>
    <x v="490"/>
    <x v="3"/>
  </r>
  <r>
    <x v="491"/>
    <x v="3"/>
    <x v="0"/>
    <x v="491"/>
    <x v="36"/>
    <x v="0"/>
    <x v="217"/>
    <x v="358"/>
    <x v="1"/>
    <x v="2"/>
    <x v="491"/>
    <x v="4"/>
  </r>
  <r>
    <x v="492"/>
    <x v="0"/>
    <x v="4"/>
    <x v="492"/>
    <x v="14"/>
    <x v="8"/>
    <x v="358"/>
    <x v="79"/>
    <x v="2"/>
    <x v="2"/>
    <x v="492"/>
    <x v="2"/>
  </r>
  <r>
    <x v="493"/>
    <x v="1"/>
    <x v="4"/>
    <x v="493"/>
    <x v="23"/>
    <x v="4"/>
    <x v="359"/>
    <x v="359"/>
    <x v="1"/>
    <x v="1"/>
    <x v="493"/>
    <x v="0"/>
  </r>
  <r>
    <x v="494"/>
    <x v="2"/>
    <x v="3"/>
    <x v="494"/>
    <x v="47"/>
    <x v="8"/>
    <x v="160"/>
    <x v="360"/>
    <x v="0"/>
    <x v="2"/>
    <x v="494"/>
    <x v="1"/>
  </r>
  <r>
    <x v="495"/>
    <x v="3"/>
    <x v="1"/>
    <x v="495"/>
    <x v="3"/>
    <x v="1"/>
    <x v="114"/>
    <x v="51"/>
    <x v="0"/>
    <x v="0"/>
    <x v="495"/>
    <x v="1"/>
  </r>
  <r>
    <x v="496"/>
    <x v="0"/>
    <x v="0"/>
    <x v="496"/>
    <x v="1"/>
    <x v="6"/>
    <x v="300"/>
    <x v="124"/>
    <x v="1"/>
    <x v="0"/>
    <x v="496"/>
    <x v="0"/>
  </r>
  <r>
    <x v="497"/>
    <x v="1"/>
    <x v="3"/>
    <x v="497"/>
    <x v="5"/>
    <x v="0"/>
    <x v="360"/>
    <x v="1"/>
    <x v="0"/>
    <x v="0"/>
    <x v="497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5" minRefreshableVersion="3" useAutoFormatting="1" createdVersion="5" indent="0" compact="0" outline="1" outlineData="1" compactData="0" multipleFieldFilters="0">
  <location ref="A3:B8" firstHeaderRow="1" firstDataRow="1" firstDataCol="1"/>
  <pivotFields count="12">
    <pivotField compact="0" showAll="0">
      <items count="4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t="default"/>
      </items>
    </pivotField>
    <pivotField axis="axisRow" compact="0" showAll="0">
      <items count="5">
        <item x="1"/>
        <item x="0"/>
        <item x="3"/>
        <item x="2"/>
        <item t="default"/>
      </items>
    </pivotField>
    <pivotField compact="0" showAll="0">
      <items count="6">
        <item x="0"/>
        <item x="1"/>
        <item x="3"/>
        <item x="2"/>
        <item x="4"/>
        <item t="default"/>
      </items>
    </pivotField>
    <pivotField dataField="1" compact="0" showAll="0">
      <items count="499">
        <item x="301"/>
        <item x="187"/>
        <item x="215"/>
        <item x="315"/>
        <item x="339"/>
        <item x="121"/>
        <item x="53"/>
        <item x="436"/>
        <item x="66"/>
        <item x="266"/>
        <item x="158"/>
        <item x="476"/>
        <item x="42"/>
        <item x="143"/>
        <item x="418"/>
        <item x="433"/>
        <item x="469"/>
        <item x="350"/>
        <item x="61"/>
        <item x="140"/>
        <item x="6"/>
        <item x="344"/>
        <item x="83"/>
        <item x="359"/>
        <item x="459"/>
        <item x="39"/>
        <item x="59"/>
        <item x="416"/>
        <item x="28"/>
        <item x="311"/>
        <item x="318"/>
        <item x="189"/>
        <item x="471"/>
        <item x="111"/>
        <item x="235"/>
        <item x="363"/>
        <item x="177"/>
        <item x="397"/>
        <item x="254"/>
        <item x="9"/>
        <item x="349"/>
        <item x="452"/>
        <item x="468"/>
        <item x="35"/>
        <item x="243"/>
        <item x="453"/>
        <item x="373"/>
        <item x="323"/>
        <item x="30"/>
        <item x="114"/>
        <item x="81"/>
        <item x="449"/>
        <item x="63"/>
        <item x="78"/>
        <item x="214"/>
        <item x="186"/>
        <item x="0"/>
        <item x="335"/>
        <item x="496"/>
        <item x="462"/>
        <item x="330"/>
        <item x="89"/>
        <item x="280"/>
        <item x="382"/>
        <item x="241"/>
        <item x="154"/>
        <item x="253"/>
        <item x="314"/>
        <item x="309"/>
        <item x="491"/>
        <item x="207"/>
        <item x="211"/>
        <item x="483"/>
        <item x="239"/>
        <item x="487"/>
        <item x="313"/>
        <item x="352"/>
        <item x="208"/>
        <item x="195"/>
        <item x="183"/>
        <item x="193"/>
        <item x="326"/>
        <item x="291"/>
        <item x="98"/>
        <item x="389"/>
        <item x="26"/>
        <item x="371"/>
        <item x="52"/>
        <item x="43"/>
        <item x="306"/>
        <item x="408"/>
        <item x="135"/>
        <item x="368"/>
        <item x="411"/>
        <item x="3"/>
        <item x="113"/>
        <item x="44"/>
        <item x="218"/>
        <item x="364"/>
        <item x="260"/>
        <item x="144"/>
        <item x="160"/>
        <item x="360"/>
        <item x="236"/>
        <item x="320"/>
        <item x="451"/>
        <item x="173"/>
        <item x="439"/>
        <item x="197"/>
        <item x="413"/>
        <item x="164"/>
        <item x="117"/>
        <item x="378"/>
        <item x="419"/>
        <item x="222"/>
        <item x="475"/>
        <item x="13"/>
        <item x="412"/>
        <item x="321"/>
        <item x="351"/>
        <item x="346"/>
        <item x="265"/>
        <item x="338"/>
        <item x="333"/>
        <item x="284"/>
        <item x="7"/>
        <item x="247"/>
        <item x="128"/>
        <item x="182"/>
        <item x="444"/>
        <item x="46"/>
        <item x="495"/>
        <item x="54"/>
        <item x="294"/>
        <item x="212"/>
        <item x="427"/>
        <item x="40"/>
        <item x="497"/>
        <item x="77"/>
        <item x="12"/>
        <item x="264"/>
        <item x="15"/>
        <item x="217"/>
        <item x="479"/>
        <item x="201"/>
        <item x="404"/>
        <item x="152"/>
        <item x="178"/>
        <item x="355"/>
        <item x="446"/>
        <item x="29"/>
        <item x="424"/>
        <item x="407"/>
        <item x="295"/>
        <item x="233"/>
        <item x="376"/>
        <item x="277"/>
        <item x="50"/>
        <item x="399"/>
        <item x="334"/>
        <item x="99"/>
        <item x="340"/>
        <item x="32"/>
        <item x="302"/>
        <item x="336"/>
        <item x="293"/>
        <item x="281"/>
        <item x="380"/>
        <item x="348"/>
        <item x="374"/>
        <item x="383"/>
        <item x="259"/>
        <item x="150"/>
        <item x="285"/>
        <item x="123"/>
        <item x="55"/>
        <item x="200"/>
        <item x="225"/>
        <item x="450"/>
        <item x="403"/>
        <item x="206"/>
        <item x="279"/>
        <item x="472"/>
        <item x="196"/>
        <item x="400"/>
        <item x="118"/>
        <item x="304"/>
        <item x="91"/>
        <item x="130"/>
        <item x="133"/>
        <item x="358"/>
        <item x="191"/>
        <item x="325"/>
        <item x="248"/>
        <item x="210"/>
        <item x="87"/>
        <item x="161"/>
        <item x="392"/>
        <item x="180"/>
        <item x="148"/>
        <item x="287"/>
        <item x="385"/>
        <item x="179"/>
        <item x="138"/>
        <item x="82"/>
        <item x="386"/>
        <item x="147"/>
        <item x="263"/>
        <item x="240"/>
        <item x="296"/>
        <item x="387"/>
        <item x="274"/>
        <item x="448"/>
        <item x="327"/>
        <item x="464"/>
        <item x="341"/>
        <item x="423"/>
        <item x="428"/>
        <item x="134"/>
        <item x="384"/>
        <item x="395"/>
        <item x="290"/>
        <item x="345"/>
        <item x="478"/>
        <item x="300"/>
        <item x="51"/>
        <item x="246"/>
        <item x="402"/>
        <item x="159"/>
        <item x="272"/>
        <item x="366"/>
        <item x="100"/>
        <item x="69"/>
        <item x="86"/>
        <item x="288"/>
        <item x="278"/>
        <item x="5"/>
        <item x="406"/>
        <item x="10"/>
        <item x="224"/>
        <item x="267"/>
        <item x="292"/>
        <item x="102"/>
        <item x="477"/>
        <item x="131"/>
        <item x="93"/>
        <item x="489"/>
        <item x="167"/>
        <item x="157"/>
        <item x="168"/>
        <item x="213"/>
        <item x="175"/>
        <item x="153"/>
        <item x="494"/>
        <item x="234"/>
        <item x="171"/>
        <item x="146"/>
        <item x="391"/>
        <item x="132"/>
        <item x="372"/>
        <item x="92"/>
        <item x="36"/>
        <item x="305"/>
        <item x="56"/>
        <item x="342"/>
        <item x="401"/>
        <item x="34"/>
        <item x="74"/>
        <item x="356"/>
        <item x="442"/>
        <item x="184"/>
        <item x="142"/>
        <item x="232"/>
        <item x="141"/>
        <item x="228"/>
        <item x="312"/>
        <item x="105"/>
        <item x="319"/>
        <item x="47"/>
        <item x="324"/>
        <item x="70"/>
        <item x="176"/>
        <item x="434"/>
        <item x="226"/>
        <item x="258"/>
        <item x="4"/>
        <item x="245"/>
        <item x="136"/>
        <item x="486"/>
        <item x="60"/>
        <item x="185"/>
        <item x="94"/>
        <item x="286"/>
        <item x="405"/>
        <item x="271"/>
        <item x="204"/>
        <item x="230"/>
        <item x="221"/>
        <item x="393"/>
        <item x="112"/>
        <item x="68"/>
        <item x="170"/>
        <item x="116"/>
        <item x="129"/>
        <item x="62"/>
        <item x="353"/>
        <item x="473"/>
        <item x="16"/>
        <item x="192"/>
        <item x="398"/>
        <item x="244"/>
        <item x="377"/>
        <item x="109"/>
        <item x="21"/>
        <item x="426"/>
        <item x="431"/>
        <item x="375"/>
        <item x="37"/>
        <item x="238"/>
        <item x="463"/>
        <item x="441"/>
        <item x="492"/>
        <item x="261"/>
        <item x="299"/>
        <item x="45"/>
        <item x="209"/>
        <item x="337"/>
        <item x="71"/>
        <item x="257"/>
        <item x="343"/>
        <item x="435"/>
        <item x="41"/>
        <item x="484"/>
        <item x="466"/>
        <item x="124"/>
        <item x="289"/>
        <item x="219"/>
        <item x="227"/>
        <item x="27"/>
        <item x="2"/>
        <item x="125"/>
        <item x="33"/>
        <item x="379"/>
        <item x="310"/>
        <item x="357"/>
        <item x="79"/>
        <item x="432"/>
        <item x="298"/>
        <item x="156"/>
        <item x="251"/>
        <item x="17"/>
        <item x="172"/>
        <item x="481"/>
        <item x="252"/>
        <item x="283"/>
        <item x="1"/>
        <item x="137"/>
        <item x="367"/>
        <item x="250"/>
        <item x="276"/>
        <item x="237"/>
        <item x="73"/>
        <item x="390"/>
        <item x="365"/>
        <item x="163"/>
        <item x="202"/>
        <item x="415"/>
        <item x="409"/>
        <item x="25"/>
        <item x="84"/>
        <item x="181"/>
        <item x="454"/>
        <item x="422"/>
        <item x="329"/>
        <item x="67"/>
        <item x="461"/>
        <item x="370"/>
        <item x="447"/>
        <item x="18"/>
        <item x="460"/>
        <item x="381"/>
        <item x="445"/>
        <item x="49"/>
        <item x="410"/>
        <item x="20"/>
        <item x="249"/>
        <item x="303"/>
        <item x="269"/>
        <item x="194"/>
        <item x="362"/>
        <item x="75"/>
        <item x="155"/>
        <item x="317"/>
        <item x="458"/>
        <item x="97"/>
        <item x="417"/>
        <item x="256"/>
        <item x="198"/>
        <item x="490"/>
        <item x="443"/>
        <item x="437"/>
        <item x="110"/>
        <item x="440"/>
        <item x="354"/>
        <item x="11"/>
        <item x="331"/>
        <item x="108"/>
        <item x="220"/>
        <item x="394"/>
        <item x="457"/>
        <item x="242"/>
        <item x="162"/>
        <item x="482"/>
        <item x="199"/>
        <item x="151"/>
        <item x="255"/>
        <item x="223"/>
        <item x="120"/>
        <item x="421"/>
        <item x="65"/>
        <item x="396"/>
        <item x="480"/>
        <item x="322"/>
        <item x="106"/>
        <item x="174"/>
        <item x="203"/>
        <item x="231"/>
        <item x="474"/>
        <item x="455"/>
        <item x="429"/>
        <item x="38"/>
        <item x="425"/>
        <item x="361"/>
        <item x="72"/>
        <item x="414"/>
        <item x="127"/>
        <item x="297"/>
        <item x="149"/>
        <item x="282"/>
        <item x="14"/>
        <item x="90"/>
        <item x="115"/>
        <item x="22"/>
        <item x="270"/>
        <item x="190"/>
        <item x="465"/>
        <item x="169"/>
        <item x="166"/>
        <item x="430"/>
        <item x="101"/>
        <item x="145"/>
        <item x="23"/>
        <item x="88"/>
        <item x="126"/>
        <item x="493"/>
        <item x="262"/>
        <item x="307"/>
        <item x="275"/>
        <item x="216"/>
        <item x="188"/>
        <item x="420"/>
        <item x="229"/>
        <item x="308"/>
        <item x="456"/>
        <item x="205"/>
        <item x="438"/>
        <item x="332"/>
        <item x="328"/>
        <item x="316"/>
        <item x="95"/>
        <item x="57"/>
        <item x="64"/>
        <item x="58"/>
        <item x="347"/>
        <item x="85"/>
        <item x="31"/>
        <item x="467"/>
        <item x="96"/>
        <item x="369"/>
        <item x="48"/>
        <item x="24"/>
        <item x="119"/>
        <item x="470"/>
        <item x="485"/>
        <item x="103"/>
        <item x="139"/>
        <item x="80"/>
        <item x="122"/>
        <item x="104"/>
        <item x="165"/>
        <item x="76"/>
        <item x="268"/>
        <item x="388"/>
        <item x="273"/>
        <item x="19"/>
        <item x="488"/>
        <item x="107"/>
        <item x="8"/>
        <item t="default"/>
      </items>
    </pivotField>
    <pivotField compact="0" showAll="0"/>
    <pivotField compact="0" showAll="0"/>
    <pivotField compact="0" numFmtId="166" showAll="0"/>
    <pivotField compact="0" numFmtId="166" showAll="0"/>
    <pivotField compact="0" showAll="0"/>
    <pivotField compact="0" multipleItemSelectionAllowed="1" showAll="0">
      <items count="4">
        <item x="1"/>
        <item x="2"/>
        <item h="1" x="0"/>
        <item t="default"/>
      </items>
    </pivotField>
    <pivotField compact="0" showAll="0"/>
    <pivotField compact="0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baseField="0" baseItem="0"/>
  </dataFields>
  <pivotTableStyleInfo name="PivotStylePreset2_Accent1" showRowHeaders="1" showColHeaders="1" showRowStripes="0" showColStripes="0" showLastColumn="0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5" minRefreshableVersion="3" useAutoFormatting="1" createdVersion="5" indent="0" compact="0" outline="1" outlineData="1" compactData="0" multipleFieldFilters="0">
  <location ref="A3:B9" firstHeaderRow="1" firstDataRow="1" firstDataCol="1"/>
  <pivotFields count="12">
    <pivotField compact="0" showAll="0">
      <items count="4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t="default"/>
      </items>
    </pivotField>
    <pivotField compact="0" showAll="0"/>
    <pivotField axis="axisRow" compact="0" showAll="0">
      <items count="6">
        <item x="0"/>
        <item x="1"/>
        <item x="3"/>
        <item x="2"/>
        <item x="4"/>
        <item t="default"/>
      </items>
    </pivotField>
    <pivotField dataField="1" compact="0" showAll="0">
      <items count="499">
        <item x="301"/>
        <item x="187"/>
        <item x="215"/>
        <item x="315"/>
        <item x="339"/>
        <item x="121"/>
        <item x="53"/>
        <item x="436"/>
        <item x="66"/>
        <item x="266"/>
        <item x="158"/>
        <item x="476"/>
        <item x="42"/>
        <item x="143"/>
        <item x="418"/>
        <item x="433"/>
        <item x="469"/>
        <item x="350"/>
        <item x="61"/>
        <item x="140"/>
        <item x="6"/>
        <item x="344"/>
        <item x="83"/>
        <item x="359"/>
        <item x="459"/>
        <item x="39"/>
        <item x="59"/>
        <item x="416"/>
        <item x="28"/>
        <item x="311"/>
        <item x="318"/>
        <item x="189"/>
        <item x="471"/>
        <item x="111"/>
        <item x="235"/>
        <item x="363"/>
        <item x="177"/>
        <item x="397"/>
        <item x="254"/>
        <item x="9"/>
        <item x="349"/>
        <item x="452"/>
        <item x="468"/>
        <item x="35"/>
        <item x="243"/>
        <item x="453"/>
        <item x="373"/>
        <item x="323"/>
        <item x="30"/>
        <item x="114"/>
        <item x="81"/>
        <item x="449"/>
        <item x="63"/>
        <item x="78"/>
        <item x="214"/>
        <item x="186"/>
        <item x="0"/>
        <item x="335"/>
        <item x="496"/>
        <item x="462"/>
        <item x="330"/>
        <item x="89"/>
        <item x="280"/>
        <item x="382"/>
        <item x="241"/>
        <item x="154"/>
        <item x="253"/>
        <item x="314"/>
        <item x="309"/>
        <item x="491"/>
        <item x="207"/>
        <item x="211"/>
        <item x="483"/>
        <item x="239"/>
        <item x="487"/>
        <item x="313"/>
        <item x="352"/>
        <item x="208"/>
        <item x="195"/>
        <item x="183"/>
        <item x="193"/>
        <item x="326"/>
        <item x="291"/>
        <item x="98"/>
        <item x="389"/>
        <item x="26"/>
        <item x="371"/>
        <item x="52"/>
        <item x="43"/>
        <item x="306"/>
        <item x="408"/>
        <item x="135"/>
        <item x="368"/>
        <item x="411"/>
        <item x="3"/>
        <item x="113"/>
        <item x="44"/>
        <item x="218"/>
        <item x="364"/>
        <item x="260"/>
        <item x="144"/>
        <item x="160"/>
        <item x="360"/>
        <item x="236"/>
        <item x="320"/>
        <item x="451"/>
        <item x="173"/>
        <item x="439"/>
        <item x="197"/>
        <item x="413"/>
        <item x="164"/>
        <item x="117"/>
        <item x="378"/>
        <item x="419"/>
        <item x="222"/>
        <item x="475"/>
        <item x="13"/>
        <item x="412"/>
        <item x="321"/>
        <item x="351"/>
        <item x="346"/>
        <item x="265"/>
        <item x="338"/>
        <item x="333"/>
        <item x="284"/>
        <item x="7"/>
        <item x="247"/>
        <item x="128"/>
        <item x="182"/>
        <item x="444"/>
        <item x="46"/>
        <item x="495"/>
        <item x="54"/>
        <item x="294"/>
        <item x="212"/>
        <item x="427"/>
        <item x="40"/>
        <item x="497"/>
        <item x="77"/>
        <item x="12"/>
        <item x="264"/>
        <item x="15"/>
        <item x="217"/>
        <item x="479"/>
        <item x="201"/>
        <item x="404"/>
        <item x="152"/>
        <item x="178"/>
        <item x="355"/>
        <item x="446"/>
        <item x="29"/>
        <item x="424"/>
        <item x="407"/>
        <item x="295"/>
        <item x="233"/>
        <item x="376"/>
        <item x="277"/>
        <item x="50"/>
        <item x="399"/>
        <item x="334"/>
        <item x="99"/>
        <item x="340"/>
        <item x="32"/>
        <item x="302"/>
        <item x="336"/>
        <item x="293"/>
        <item x="281"/>
        <item x="380"/>
        <item x="348"/>
        <item x="374"/>
        <item x="383"/>
        <item x="259"/>
        <item x="150"/>
        <item x="285"/>
        <item x="123"/>
        <item x="55"/>
        <item x="200"/>
        <item x="225"/>
        <item x="450"/>
        <item x="403"/>
        <item x="206"/>
        <item x="279"/>
        <item x="472"/>
        <item x="196"/>
        <item x="400"/>
        <item x="118"/>
        <item x="304"/>
        <item x="91"/>
        <item x="130"/>
        <item x="133"/>
        <item x="358"/>
        <item x="191"/>
        <item x="325"/>
        <item x="248"/>
        <item x="210"/>
        <item x="87"/>
        <item x="161"/>
        <item x="392"/>
        <item x="180"/>
        <item x="148"/>
        <item x="287"/>
        <item x="385"/>
        <item x="179"/>
        <item x="138"/>
        <item x="82"/>
        <item x="386"/>
        <item x="147"/>
        <item x="263"/>
        <item x="240"/>
        <item x="296"/>
        <item x="387"/>
        <item x="274"/>
        <item x="448"/>
        <item x="327"/>
        <item x="464"/>
        <item x="341"/>
        <item x="423"/>
        <item x="428"/>
        <item x="134"/>
        <item x="384"/>
        <item x="395"/>
        <item x="290"/>
        <item x="345"/>
        <item x="478"/>
        <item x="300"/>
        <item x="51"/>
        <item x="246"/>
        <item x="402"/>
        <item x="159"/>
        <item x="272"/>
        <item x="366"/>
        <item x="100"/>
        <item x="69"/>
        <item x="86"/>
        <item x="288"/>
        <item x="278"/>
        <item x="5"/>
        <item x="406"/>
        <item x="10"/>
        <item x="224"/>
        <item x="267"/>
        <item x="292"/>
        <item x="102"/>
        <item x="477"/>
        <item x="131"/>
        <item x="93"/>
        <item x="489"/>
        <item x="167"/>
        <item x="157"/>
        <item x="168"/>
        <item x="213"/>
        <item x="175"/>
        <item x="153"/>
        <item x="494"/>
        <item x="234"/>
        <item x="171"/>
        <item x="146"/>
        <item x="391"/>
        <item x="132"/>
        <item x="372"/>
        <item x="92"/>
        <item x="36"/>
        <item x="305"/>
        <item x="56"/>
        <item x="342"/>
        <item x="401"/>
        <item x="34"/>
        <item x="74"/>
        <item x="356"/>
        <item x="442"/>
        <item x="184"/>
        <item x="142"/>
        <item x="232"/>
        <item x="141"/>
        <item x="228"/>
        <item x="312"/>
        <item x="105"/>
        <item x="319"/>
        <item x="47"/>
        <item x="324"/>
        <item x="70"/>
        <item x="176"/>
        <item x="434"/>
        <item x="226"/>
        <item x="258"/>
        <item x="4"/>
        <item x="245"/>
        <item x="136"/>
        <item x="486"/>
        <item x="60"/>
        <item x="185"/>
        <item x="94"/>
        <item x="286"/>
        <item x="405"/>
        <item x="271"/>
        <item x="204"/>
        <item x="230"/>
        <item x="221"/>
        <item x="393"/>
        <item x="112"/>
        <item x="68"/>
        <item x="170"/>
        <item x="116"/>
        <item x="129"/>
        <item x="62"/>
        <item x="353"/>
        <item x="473"/>
        <item x="16"/>
        <item x="192"/>
        <item x="398"/>
        <item x="244"/>
        <item x="377"/>
        <item x="109"/>
        <item x="21"/>
        <item x="426"/>
        <item x="431"/>
        <item x="375"/>
        <item x="37"/>
        <item x="238"/>
        <item x="463"/>
        <item x="441"/>
        <item x="492"/>
        <item x="261"/>
        <item x="299"/>
        <item x="45"/>
        <item x="209"/>
        <item x="337"/>
        <item x="71"/>
        <item x="257"/>
        <item x="343"/>
        <item x="435"/>
        <item x="41"/>
        <item x="484"/>
        <item x="466"/>
        <item x="124"/>
        <item x="289"/>
        <item x="219"/>
        <item x="227"/>
        <item x="27"/>
        <item x="2"/>
        <item x="125"/>
        <item x="33"/>
        <item x="379"/>
        <item x="310"/>
        <item x="357"/>
        <item x="79"/>
        <item x="432"/>
        <item x="298"/>
        <item x="156"/>
        <item x="251"/>
        <item x="17"/>
        <item x="172"/>
        <item x="481"/>
        <item x="252"/>
        <item x="283"/>
        <item x="1"/>
        <item x="137"/>
        <item x="367"/>
        <item x="250"/>
        <item x="276"/>
        <item x="237"/>
        <item x="73"/>
        <item x="390"/>
        <item x="365"/>
        <item x="163"/>
        <item x="202"/>
        <item x="415"/>
        <item x="409"/>
        <item x="25"/>
        <item x="84"/>
        <item x="181"/>
        <item x="454"/>
        <item x="422"/>
        <item x="329"/>
        <item x="67"/>
        <item x="461"/>
        <item x="370"/>
        <item x="447"/>
        <item x="18"/>
        <item x="460"/>
        <item x="381"/>
        <item x="445"/>
        <item x="49"/>
        <item x="410"/>
        <item x="20"/>
        <item x="249"/>
        <item x="303"/>
        <item x="269"/>
        <item x="194"/>
        <item x="362"/>
        <item x="75"/>
        <item x="155"/>
        <item x="317"/>
        <item x="458"/>
        <item x="97"/>
        <item x="417"/>
        <item x="256"/>
        <item x="198"/>
        <item x="490"/>
        <item x="443"/>
        <item x="437"/>
        <item x="110"/>
        <item x="440"/>
        <item x="354"/>
        <item x="11"/>
        <item x="331"/>
        <item x="108"/>
        <item x="220"/>
        <item x="394"/>
        <item x="457"/>
        <item x="242"/>
        <item x="162"/>
        <item x="482"/>
        <item x="199"/>
        <item x="151"/>
        <item x="255"/>
        <item x="223"/>
        <item x="120"/>
        <item x="421"/>
        <item x="65"/>
        <item x="396"/>
        <item x="480"/>
        <item x="322"/>
        <item x="106"/>
        <item x="174"/>
        <item x="203"/>
        <item x="231"/>
        <item x="474"/>
        <item x="455"/>
        <item x="429"/>
        <item x="38"/>
        <item x="425"/>
        <item x="361"/>
        <item x="72"/>
        <item x="414"/>
        <item x="127"/>
        <item x="297"/>
        <item x="149"/>
        <item x="282"/>
        <item x="14"/>
        <item x="90"/>
        <item x="115"/>
        <item x="22"/>
        <item x="270"/>
        <item x="190"/>
        <item x="465"/>
        <item x="169"/>
        <item x="166"/>
        <item x="430"/>
        <item x="101"/>
        <item x="145"/>
        <item x="23"/>
        <item x="88"/>
        <item x="126"/>
        <item x="493"/>
        <item x="262"/>
        <item x="307"/>
        <item x="275"/>
        <item x="216"/>
        <item x="188"/>
        <item x="420"/>
        <item x="229"/>
        <item x="308"/>
        <item x="456"/>
        <item x="205"/>
        <item x="438"/>
        <item x="332"/>
        <item x="328"/>
        <item x="316"/>
        <item x="95"/>
        <item x="57"/>
        <item x="64"/>
        <item x="58"/>
        <item x="347"/>
        <item x="85"/>
        <item x="31"/>
        <item x="467"/>
        <item x="96"/>
        <item x="369"/>
        <item x="48"/>
        <item x="24"/>
        <item x="119"/>
        <item x="470"/>
        <item x="485"/>
        <item x="103"/>
        <item x="139"/>
        <item x="80"/>
        <item x="122"/>
        <item x="104"/>
        <item x="165"/>
        <item x="76"/>
        <item x="268"/>
        <item x="388"/>
        <item x="273"/>
        <item x="19"/>
        <item x="488"/>
        <item x="107"/>
        <item x="8"/>
        <item t="default"/>
      </items>
    </pivotField>
    <pivotField compact="0" showAll="0"/>
    <pivotField compact="0" showAll="0"/>
    <pivotField compact="0" numFmtId="166" showAll="0"/>
    <pivotField compact="0" numFmtId="166" showAll="0"/>
    <pivotField compact="0" showAll="0"/>
    <pivotField compact="0" showAll="0"/>
    <pivotField compact="0" showAll="0"/>
    <pivotField compact="0"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" fld="3" baseField="0" baseItem="0"/>
  </dataFields>
  <pivotTableStyleInfo name="PivotStylePreset2_Accent1" showRowHeaders="1" showColHeaders="1" showRowStripes="0" showColStripes="0" showLastColumn="0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3" cacheId="0" applyNumberFormats="0" applyBorderFormats="0" applyFontFormats="0" applyPatternFormats="0" applyAlignmentFormats="0" applyWidthHeightFormats="1" dataCaption="Values" updatedVersion="5" minRefreshableVersion="3" useAutoFormatting="1" createdVersion="5" indent="0" compact="0" outline="1" outlineData="1" compactData="0" multipleFieldFilters="0">
  <location ref="A3:B16" firstHeaderRow="1" firstDataRow="1" firstDataCol="1"/>
  <pivotFields count="12">
    <pivotField compact="0" showAll="0">
      <items count="4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t="default"/>
      </items>
    </pivotField>
    <pivotField compact="0" showAll="0"/>
    <pivotField compact="0" showAll="0"/>
    <pivotField dataField="1" compact="0" showAll="0">
      <items count="499">
        <item x="301"/>
        <item x="187"/>
        <item x="215"/>
        <item x="315"/>
        <item x="339"/>
        <item x="121"/>
        <item x="53"/>
        <item x="436"/>
        <item x="66"/>
        <item x="266"/>
        <item x="158"/>
        <item x="476"/>
        <item x="42"/>
        <item x="143"/>
        <item x="418"/>
        <item x="433"/>
        <item x="469"/>
        <item x="350"/>
        <item x="61"/>
        <item x="140"/>
        <item x="6"/>
        <item x="344"/>
        <item x="83"/>
        <item x="359"/>
        <item x="459"/>
        <item x="39"/>
        <item x="59"/>
        <item x="416"/>
        <item x="28"/>
        <item x="311"/>
        <item x="318"/>
        <item x="189"/>
        <item x="471"/>
        <item x="111"/>
        <item x="235"/>
        <item x="363"/>
        <item x="177"/>
        <item x="397"/>
        <item x="254"/>
        <item x="9"/>
        <item x="349"/>
        <item x="452"/>
        <item x="468"/>
        <item x="35"/>
        <item x="243"/>
        <item x="453"/>
        <item x="373"/>
        <item x="323"/>
        <item x="30"/>
        <item x="114"/>
        <item x="81"/>
        <item x="449"/>
        <item x="63"/>
        <item x="78"/>
        <item x="214"/>
        <item x="186"/>
        <item x="0"/>
        <item x="335"/>
        <item x="496"/>
        <item x="462"/>
        <item x="330"/>
        <item x="89"/>
        <item x="280"/>
        <item x="382"/>
        <item x="241"/>
        <item x="154"/>
        <item x="253"/>
        <item x="314"/>
        <item x="309"/>
        <item x="491"/>
        <item x="207"/>
        <item x="211"/>
        <item x="483"/>
        <item x="239"/>
        <item x="487"/>
        <item x="313"/>
        <item x="352"/>
        <item x="208"/>
        <item x="195"/>
        <item x="183"/>
        <item x="193"/>
        <item x="326"/>
        <item x="291"/>
        <item x="98"/>
        <item x="389"/>
        <item x="26"/>
        <item x="371"/>
        <item x="52"/>
        <item x="43"/>
        <item x="306"/>
        <item x="408"/>
        <item x="135"/>
        <item x="368"/>
        <item x="411"/>
        <item x="3"/>
        <item x="113"/>
        <item x="44"/>
        <item x="218"/>
        <item x="364"/>
        <item x="260"/>
        <item x="144"/>
        <item x="160"/>
        <item x="360"/>
        <item x="236"/>
        <item x="320"/>
        <item x="451"/>
        <item x="173"/>
        <item x="439"/>
        <item x="197"/>
        <item x="413"/>
        <item x="164"/>
        <item x="117"/>
        <item x="378"/>
        <item x="419"/>
        <item x="222"/>
        <item x="475"/>
        <item x="13"/>
        <item x="412"/>
        <item x="321"/>
        <item x="351"/>
        <item x="346"/>
        <item x="265"/>
        <item x="338"/>
        <item x="333"/>
        <item x="284"/>
        <item x="7"/>
        <item x="247"/>
        <item x="128"/>
        <item x="182"/>
        <item x="444"/>
        <item x="46"/>
        <item x="495"/>
        <item x="54"/>
        <item x="294"/>
        <item x="212"/>
        <item x="427"/>
        <item x="40"/>
        <item x="497"/>
        <item x="77"/>
        <item x="12"/>
        <item x="264"/>
        <item x="15"/>
        <item x="217"/>
        <item x="479"/>
        <item x="201"/>
        <item x="404"/>
        <item x="152"/>
        <item x="178"/>
        <item x="355"/>
        <item x="446"/>
        <item x="29"/>
        <item x="424"/>
        <item x="407"/>
        <item x="295"/>
        <item x="233"/>
        <item x="376"/>
        <item x="277"/>
        <item x="50"/>
        <item x="399"/>
        <item x="334"/>
        <item x="99"/>
        <item x="340"/>
        <item x="32"/>
        <item x="302"/>
        <item x="336"/>
        <item x="293"/>
        <item x="281"/>
        <item x="380"/>
        <item x="348"/>
        <item x="374"/>
        <item x="383"/>
        <item x="259"/>
        <item x="150"/>
        <item x="285"/>
        <item x="123"/>
        <item x="55"/>
        <item x="200"/>
        <item x="225"/>
        <item x="450"/>
        <item x="403"/>
        <item x="206"/>
        <item x="279"/>
        <item x="472"/>
        <item x="196"/>
        <item x="400"/>
        <item x="118"/>
        <item x="304"/>
        <item x="91"/>
        <item x="130"/>
        <item x="133"/>
        <item x="358"/>
        <item x="191"/>
        <item x="325"/>
        <item x="248"/>
        <item x="210"/>
        <item x="87"/>
        <item x="161"/>
        <item x="392"/>
        <item x="180"/>
        <item x="148"/>
        <item x="287"/>
        <item x="385"/>
        <item x="179"/>
        <item x="138"/>
        <item x="82"/>
        <item x="386"/>
        <item x="147"/>
        <item x="263"/>
        <item x="240"/>
        <item x="296"/>
        <item x="387"/>
        <item x="274"/>
        <item x="448"/>
        <item x="327"/>
        <item x="464"/>
        <item x="341"/>
        <item x="423"/>
        <item x="428"/>
        <item x="134"/>
        <item x="384"/>
        <item x="395"/>
        <item x="290"/>
        <item x="345"/>
        <item x="478"/>
        <item x="300"/>
        <item x="51"/>
        <item x="246"/>
        <item x="402"/>
        <item x="159"/>
        <item x="272"/>
        <item x="366"/>
        <item x="100"/>
        <item x="69"/>
        <item x="86"/>
        <item x="288"/>
        <item x="278"/>
        <item x="5"/>
        <item x="406"/>
        <item x="10"/>
        <item x="224"/>
        <item x="267"/>
        <item x="292"/>
        <item x="102"/>
        <item x="477"/>
        <item x="131"/>
        <item x="93"/>
        <item x="489"/>
        <item x="167"/>
        <item x="157"/>
        <item x="168"/>
        <item x="213"/>
        <item x="175"/>
        <item x="153"/>
        <item x="494"/>
        <item x="234"/>
        <item x="171"/>
        <item x="146"/>
        <item x="391"/>
        <item x="132"/>
        <item x="372"/>
        <item x="92"/>
        <item x="36"/>
        <item x="305"/>
        <item x="56"/>
        <item x="342"/>
        <item x="401"/>
        <item x="34"/>
        <item x="74"/>
        <item x="356"/>
        <item x="442"/>
        <item x="184"/>
        <item x="142"/>
        <item x="232"/>
        <item x="141"/>
        <item x="228"/>
        <item x="312"/>
        <item x="105"/>
        <item x="319"/>
        <item x="47"/>
        <item x="324"/>
        <item x="70"/>
        <item x="176"/>
        <item x="434"/>
        <item x="226"/>
        <item x="258"/>
        <item x="4"/>
        <item x="245"/>
        <item x="136"/>
        <item x="486"/>
        <item x="60"/>
        <item x="185"/>
        <item x="94"/>
        <item x="286"/>
        <item x="405"/>
        <item x="271"/>
        <item x="204"/>
        <item x="230"/>
        <item x="221"/>
        <item x="393"/>
        <item x="112"/>
        <item x="68"/>
        <item x="170"/>
        <item x="116"/>
        <item x="129"/>
        <item x="62"/>
        <item x="353"/>
        <item x="473"/>
        <item x="16"/>
        <item x="192"/>
        <item x="398"/>
        <item x="244"/>
        <item x="377"/>
        <item x="109"/>
        <item x="21"/>
        <item x="426"/>
        <item x="431"/>
        <item x="375"/>
        <item x="37"/>
        <item x="238"/>
        <item x="463"/>
        <item x="441"/>
        <item x="492"/>
        <item x="261"/>
        <item x="299"/>
        <item x="45"/>
        <item x="209"/>
        <item x="337"/>
        <item x="71"/>
        <item x="257"/>
        <item x="343"/>
        <item x="435"/>
        <item x="41"/>
        <item x="484"/>
        <item x="466"/>
        <item x="124"/>
        <item x="289"/>
        <item x="219"/>
        <item x="227"/>
        <item x="27"/>
        <item x="2"/>
        <item x="125"/>
        <item x="33"/>
        <item x="379"/>
        <item x="310"/>
        <item x="357"/>
        <item x="79"/>
        <item x="432"/>
        <item x="298"/>
        <item x="156"/>
        <item x="251"/>
        <item x="17"/>
        <item x="172"/>
        <item x="481"/>
        <item x="252"/>
        <item x="283"/>
        <item x="1"/>
        <item x="137"/>
        <item x="367"/>
        <item x="250"/>
        <item x="276"/>
        <item x="237"/>
        <item x="73"/>
        <item x="390"/>
        <item x="365"/>
        <item x="163"/>
        <item x="202"/>
        <item x="415"/>
        <item x="409"/>
        <item x="25"/>
        <item x="84"/>
        <item x="181"/>
        <item x="454"/>
        <item x="422"/>
        <item x="329"/>
        <item x="67"/>
        <item x="461"/>
        <item x="370"/>
        <item x="447"/>
        <item x="18"/>
        <item x="460"/>
        <item x="381"/>
        <item x="445"/>
        <item x="49"/>
        <item x="410"/>
        <item x="20"/>
        <item x="249"/>
        <item x="303"/>
        <item x="269"/>
        <item x="194"/>
        <item x="362"/>
        <item x="75"/>
        <item x="155"/>
        <item x="317"/>
        <item x="458"/>
        <item x="97"/>
        <item x="417"/>
        <item x="256"/>
        <item x="198"/>
        <item x="490"/>
        <item x="443"/>
        <item x="437"/>
        <item x="110"/>
        <item x="440"/>
        <item x="354"/>
        <item x="11"/>
        <item x="331"/>
        <item x="108"/>
        <item x="220"/>
        <item x="394"/>
        <item x="457"/>
        <item x="242"/>
        <item x="162"/>
        <item x="482"/>
        <item x="199"/>
        <item x="151"/>
        <item x="255"/>
        <item x="223"/>
        <item x="120"/>
        <item x="421"/>
        <item x="65"/>
        <item x="396"/>
        <item x="480"/>
        <item x="322"/>
        <item x="106"/>
        <item x="174"/>
        <item x="203"/>
        <item x="231"/>
        <item x="474"/>
        <item x="455"/>
        <item x="429"/>
        <item x="38"/>
        <item x="425"/>
        <item x="361"/>
        <item x="72"/>
        <item x="414"/>
        <item x="127"/>
        <item x="297"/>
        <item x="149"/>
        <item x="282"/>
        <item x="14"/>
        <item x="90"/>
        <item x="115"/>
        <item x="22"/>
        <item x="270"/>
        <item x="190"/>
        <item x="465"/>
        <item x="169"/>
        <item x="166"/>
        <item x="430"/>
        <item x="101"/>
        <item x="145"/>
        <item x="23"/>
        <item x="88"/>
        <item x="126"/>
        <item x="493"/>
        <item x="262"/>
        <item x="307"/>
        <item x="275"/>
        <item x="216"/>
        <item x="188"/>
        <item x="420"/>
        <item x="229"/>
        <item x="308"/>
        <item x="456"/>
        <item x="205"/>
        <item x="438"/>
        <item x="332"/>
        <item x="328"/>
        <item x="316"/>
        <item x="95"/>
        <item x="57"/>
        <item x="64"/>
        <item x="58"/>
        <item x="347"/>
        <item x="85"/>
        <item x="31"/>
        <item x="467"/>
        <item x="96"/>
        <item x="369"/>
        <item x="48"/>
        <item x="24"/>
        <item x="119"/>
        <item x="470"/>
        <item x="485"/>
        <item x="103"/>
        <item x="139"/>
        <item x="80"/>
        <item x="122"/>
        <item x="104"/>
        <item x="165"/>
        <item x="76"/>
        <item x="268"/>
        <item x="388"/>
        <item x="273"/>
        <item x="19"/>
        <item x="488"/>
        <item x="107"/>
        <item x="8"/>
        <item t="default"/>
      </items>
    </pivotField>
    <pivotField compact="0" showAll="0"/>
    <pivotField compact="0" showAll="0"/>
    <pivotField axis="axisRow" compact="0" numFmtId="16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numFmtId="166" showAll="0"/>
    <pivotField compact="0" showAll="0"/>
    <pivotField compact="0" showAll="0"/>
    <pivotField compact="0" showAll="0"/>
    <pivotField compact="0" showAll="0"/>
  </pivotFields>
  <rowFields count="1">
    <field x="6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sales" fld="3" baseField="0" baseItem="0"/>
  </dataFields>
  <pivotTableStyleInfo name="PivotStylePreset2_Accent1" showRowHeaders="1" showColHeaders="1" showRowStripes="0" showColStripes="0" showLastColumn="0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DMart_Sales_Table" displayName="DMart_Sales_Table" ref="A1:M499" totalsRowShown="0">
  <autoFilter ref="A1:M499"/>
  <tableColumns count="13">
    <tableColumn id="1" name="Column1" dataDxfId="52"/>
    <tableColumn id="15" name="Region" dataDxfId="51"/>
    <tableColumn id="3" name="Category" dataDxfId="50"/>
    <tableColumn id="4" name="sales" dataDxfId="49"/>
    <tableColumn id="5" name="discount" dataDxfId="48"/>
    <tableColumn id="6" name="quantity" dataDxfId="47"/>
    <tableColumn id="7" name="order_date" dataDxfId="46"/>
    <tableColumn id="8" name="delivery_date" dataDxfId="45"/>
    <tableColumn id="9" name="customer_type" dataDxfId="44"/>
    <tableColumn id="11" name="payment_mode" dataDxfId="43"/>
    <tableColumn id="12" name="profit" dataDxfId="42"/>
    <tableColumn id="13" name="city2" dataDxfId="41"/>
    <tableColumn id="2" name="city3" dataDxfId="40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9" totalsRowShown="0">
  <autoFilter ref="A1:L499"/>
  <tableColumns count="12">
    <tableColumn id="1" name="Column1" dataDxfId="39"/>
    <tableColumn id="2" name="Region" dataDxfId="38"/>
    <tableColumn id="3" name="Category" dataDxfId="37"/>
    <tableColumn id="4" name="sales" dataDxfId="36"/>
    <tableColumn id="5" name="discount" dataDxfId="35"/>
    <tableColumn id="6" name="quantity" dataDxfId="34"/>
    <tableColumn id="7" name="order_date" dataDxfId="33"/>
    <tableColumn id="8" name="delivery_date" dataDxfId="32"/>
    <tableColumn id="9" name="customer_type" dataDxfId="31"/>
    <tableColumn id="10" name="payment_mode" dataDxfId="30"/>
    <tableColumn id="11" name="profit" dataDxfId="29"/>
    <tableColumn id="12" name="city2" dataDxfId="28"/>
  </tableColumns>
  <tableStyleInfo name="TableStylePreset3_Accent1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L19" totalsRowShown="0">
  <autoFilter ref="A1:L19"/>
  <tableColumns count="12">
    <tableColumn id="1" name="Column1" dataDxfId="27"/>
    <tableColumn id="2" name="Region" dataDxfId="26"/>
    <tableColumn id="3" name="Category" dataDxfId="25"/>
    <tableColumn id="4" name="sales" dataDxfId="24"/>
    <tableColumn id="5" name="discount" dataDxfId="23"/>
    <tableColumn id="6" name="quantity" dataDxfId="22"/>
    <tableColumn id="7" name="order_date" dataDxfId="21"/>
    <tableColumn id="8" name="delivery_date" dataDxfId="20"/>
    <tableColumn id="9" name="customer_type" dataDxfId="19"/>
    <tableColumn id="10" name="payment_mode" dataDxfId="18"/>
    <tableColumn id="11" name="profit" dataDxfId="17"/>
    <tableColumn id="12" name="city2" dataDxfId="16"/>
  </tableColumns>
  <tableStyleInfo name="TableStylePreset3_Accent1" showFirstColumn="0" showLastColumn="0" showRowStripes="1" showColumnStripes="0"/>
</table>
</file>

<file path=xl/tables/table4.xml><?xml version="1.0" encoding="utf-8"?>
<table xmlns="http://schemas.openxmlformats.org/spreadsheetml/2006/main" id="3" name="Table2_4" displayName="Table2_4" ref="A1:M499" totalsRowShown="0">
  <autoFilter ref="A1:M499"/>
  <tableColumns count="13">
    <tableColumn id="1" name="Column1" dataDxfId="15"/>
    <tableColumn id="2" name="Region" dataDxfId="14"/>
    <tableColumn id="3" name="Category" dataDxfId="13"/>
    <tableColumn id="4" name="sales" dataDxfId="12"/>
    <tableColumn id="5" name="discount" dataDxfId="11"/>
    <tableColumn id="6" name="quantity" dataDxfId="10"/>
    <tableColumn id="13" name="Column2" dataDxfId="9">
      <calculatedColumnFormula>TEXT(H2,"mmmm")</calculatedColumnFormula>
    </tableColumn>
    <tableColumn id="7" name="order_date" dataDxfId="8"/>
    <tableColumn id="8" name="delivery_date" dataDxfId="7"/>
    <tableColumn id="9" name="customer_type" dataDxfId="6"/>
    <tableColumn id="10" name="payment_mode" dataDxfId="5"/>
    <tableColumn id="11" name="profit" dataDxfId="4"/>
    <tableColumn id="12" name="city2" dataDxfId="3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000"/>
  <sheetViews>
    <sheetView topLeftCell="A485" zoomScale="130" zoomScaleNormal="130" workbookViewId="0">
      <selection sqref="A1:L499"/>
    </sheetView>
  </sheetViews>
  <sheetFormatPr defaultColWidth="12.6640625" defaultRowHeight="15" customHeight="1"/>
  <cols>
    <col min="1" max="1" width="11.6640625" customWidth="1"/>
    <col min="2" max="3" width="12.33203125" customWidth="1"/>
    <col min="4" max="4" width="7.77734375" customWidth="1"/>
    <col min="5" max="5" width="8.33203125" customWidth="1"/>
    <col min="6" max="6" width="7.88671875" customWidth="1"/>
    <col min="7" max="7" width="10.109375" customWidth="1"/>
    <col min="8" max="8" width="12.21875" customWidth="1"/>
    <col min="9" max="9" width="13.5546875" customWidth="1"/>
    <col min="10" max="10" width="13.77734375" customWidth="1"/>
    <col min="11" max="11" width="7.77734375" customWidth="1"/>
    <col min="12" max="12" width="12.77734375" customWidth="1"/>
    <col min="13" max="13" width="8.6640625" customWidth="1"/>
    <col min="14" max="14" width="11.5546875" customWidth="1"/>
    <col min="15" max="15" width="15.6640625" customWidth="1"/>
    <col min="16" max="16" width="16.33203125" customWidth="1"/>
    <col min="17" max="24" width="8.6640625" customWidth="1"/>
  </cols>
  <sheetData>
    <row r="1" spans="1:24" ht="14.25" customHeight="1">
      <c r="A1" s="25" t="s">
        <v>0</v>
      </c>
      <c r="B1" s="26" t="s">
        <v>1</v>
      </c>
      <c r="C1" s="26" t="s">
        <v>2</v>
      </c>
      <c r="D1" s="26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  <c r="L1" s="26" t="s">
        <v>11</v>
      </c>
      <c r="M1" s="28" t="s">
        <v>12</v>
      </c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</row>
    <row r="2" spans="1:24" ht="14.25" customHeight="1">
      <c r="A2" s="28" t="s">
        <v>13</v>
      </c>
      <c r="B2" s="29" t="s">
        <v>14</v>
      </c>
      <c r="C2" s="29" t="s">
        <v>15</v>
      </c>
      <c r="D2" s="29">
        <v>713.49</v>
      </c>
      <c r="E2" s="29">
        <v>0.31</v>
      </c>
      <c r="F2" s="29">
        <v>3</v>
      </c>
      <c r="G2" s="30">
        <v>45015</v>
      </c>
      <c r="H2" s="30">
        <v>45017</v>
      </c>
      <c r="I2" s="29" t="s">
        <v>16</v>
      </c>
      <c r="J2" s="29" t="s">
        <v>17</v>
      </c>
      <c r="K2" s="29">
        <v>114.72</v>
      </c>
      <c r="L2" s="28" t="s">
        <v>18</v>
      </c>
      <c r="M2" s="28" t="s">
        <v>18</v>
      </c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</row>
    <row r="3" spans="1:24" ht="14.25" customHeight="1">
      <c r="A3" s="28" t="s">
        <v>19</v>
      </c>
      <c r="B3" s="29" t="s">
        <v>20</v>
      </c>
      <c r="C3" s="29" t="s">
        <v>21</v>
      </c>
      <c r="D3" s="29">
        <v>3802.97</v>
      </c>
      <c r="E3" s="29">
        <v>0.38</v>
      </c>
      <c r="F3" s="29">
        <v>4</v>
      </c>
      <c r="G3" s="30">
        <v>45166</v>
      </c>
      <c r="H3" s="30">
        <v>45172</v>
      </c>
      <c r="I3" s="29" t="s">
        <v>22</v>
      </c>
      <c r="J3" s="29" t="s">
        <v>23</v>
      </c>
      <c r="K3" s="29">
        <v>971.41</v>
      </c>
      <c r="L3" s="28" t="s">
        <v>24</v>
      </c>
      <c r="M3" s="28" t="s">
        <v>25</v>
      </c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</row>
    <row r="4" spans="1:24" ht="14.25" customHeight="1">
      <c r="A4" s="28" t="s">
        <v>26</v>
      </c>
      <c r="B4" s="29" t="s">
        <v>27</v>
      </c>
      <c r="C4" s="29" t="s">
        <v>28</v>
      </c>
      <c r="D4" s="29">
        <v>3588.97</v>
      </c>
      <c r="E4" s="29">
        <v>0.1</v>
      </c>
      <c r="F4" s="29">
        <v>7</v>
      </c>
      <c r="G4" s="30">
        <v>45360</v>
      </c>
      <c r="H4" s="30">
        <v>45366</v>
      </c>
      <c r="I4" s="29" t="s">
        <v>22</v>
      </c>
      <c r="J4" s="29" t="s">
        <v>29</v>
      </c>
      <c r="K4" s="29">
        <v>769.08</v>
      </c>
      <c r="L4" s="28" t="s">
        <v>30</v>
      </c>
      <c r="M4" s="28" t="s">
        <v>30</v>
      </c>
      <c r="N4" s="31" t="s">
        <v>31</v>
      </c>
      <c r="O4" s="31" t="s">
        <v>32</v>
      </c>
      <c r="P4" s="31" t="s">
        <v>33</v>
      </c>
      <c r="Q4" s="28"/>
      <c r="R4" s="28"/>
      <c r="S4" s="28"/>
      <c r="T4" s="28"/>
      <c r="U4" s="28"/>
      <c r="V4" s="28"/>
      <c r="W4" s="28"/>
      <c r="X4" s="28"/>
    </row>
    <row r="5" spans="1:24" ht="14.25" customHeight="1">
      <c r="A5" s="28" t="s">
        <v>34</v>
      </c>
      <c r="B5" s="29" t="s">
        <v>35</v>
      </c>
      <c r="C5" s="29" t="s">
        <v>21</v>
      </c>
      <c r="D5" s="29">
        <v>1160.8599999999999</v>
      </c>
      <c r="E5" s="29">
        <v>0.27</v>
      </c>
      <c r="F5" s="29">
        <v>5</v>
      </c>
      <c r="G5" s="30">
        <v>45578</v>
      </c>
      <c r="H5" s="30">
        <v>45584</v>
      </c>
      <c r="I5" s="29" t="s">
        <v>16</v>
      </c>
      <c r="J5" s="29" t="s">
        <v>17</v>
      </c>
      <c r="K5" s="29">
        <v>71.61</v>
      </c>
      <c r="L5" s="32" t="s">
        <v>36</v>
      </c>
      <c r="M5" s="28" t="s">
        <v>37</v>
      </c>
      <c r="N5" s="28" t="s">
        <v>38</v>
      </c>
      <c r="O5" s="28" t="s">
        <v>39</v>
      </c>
      <c r="P5" s="28" t="s">
        <v>40</v>
      </c>
      <c r="Q5" s="28"/>
      <c r="R5" s="28"/>
      <c r="S5" s="28"/>
      <c r="T5" s="28"/>
      <c r="U5" s="28"/>
      <c r="V5" s="28"/>
      <c r="W5" s="28"/>
      <c r="X5" s="28"/>
    </row>
    <row r="6" spans="1:24" ht="14.25" customHeight="1">
      <c r="A6" s="28" t="s">
        <v>41</v>
      </c>
      <c r="B6" s="29" t="s">
        <v>14</v>
      </c>
      <c r="C6" s="29" t="s">
        <v>21</v>
      </c>
      <c r="D6" s="29">
        <v>3071.32</v>
      </c>
      <c r="E6" s="29">
        <v>0</v>
      </c>
      <c r="F6" s="29">
        <v>7</v>
      </c>
      <c r="G6" s="30">
        <v>45022</v>
      </c>
      <c r="H6" s="30">
        <v>45025</v>
      </c>
      <c r="I6" s="29" t="s">
        <v>42</v>
      </c>
      <c r="J6" s="29" t="s">
        <v>29</v>
      </c>
      <c r="K6" s="29">
        <v>621.91999999999996</v>
      </c>
      <c r="L6" s="28" t="s">
        <v>18</v>
      </c>
      <c r="M6" s="28"/>
      <c r="N6" s="28" t="s">
        <v>43</v>
      </c>
      <c r="O6" s="28" t="s">
        <v>44</v>
      </c>
      <c r="P6" s="33" t="s">
        <v>45</v>
      </c>
      <c r="Q6" s="28"/>
      <c r="R6" s="28"/>
      <c r="S6" s="28"/>
      <c r="T6" s="28"/>
      <c r="U6" s="28"/>
      <c r="V6" s="28"/>
      <c r="W6" s="28"/>
      <c r="X6" s="28"/>
    </row>
    <row r="7" spans="1:24" ht="14.25" customHeight="1">
      <c r="A7" s="28" t="s">
        <v>46</v>
      </c>
      <c r="B7" s="29" t="s">
        <v>20</v>
      </c>
      <c r="C7" s="29" t="s">
        <v>47</v>
      </c>
      <c r="D7" s="29">
        <v>2566.1799999999998</v>
      </c>
      <c r="E7" s="29">
        <v>0.02</v>
      </c>
      <c r="F7" s="29">
        <v>6</v>
      </c>
      <c r="G7" s="30">
        <v>45108</v>
      </c>
      <c r="H7" s="30">
        <v>45111</v>
      </c>
      <c r="I7" s="29" t="s">
        <v>16</v>
      </c>
      <c r="J7" s="29" t="s">
        <v>17</v>
      </c>
      <c r="K7" s="29">
        <v>578.94000000000005</v>
      </c>
      <c r="L7" s="28" t="s">
        <v>37</v>
      </c>
      <c r="M7" s="28"/>
      <c r="N7" s="28" t="s">
        <v>48</v>
      </c>
      <c r="O7" s="28" t="s">
        <v>49</v>
      </c>
      <c r="P7" s="33" t="s">
        <v>50</v>
      </c>
      <c r="Q7" s="28"/>
      <c r="R7" s="28"/>
      <c r="S7" s="28"/>
      <c r="T7" s="28"/>
      <c r="U7" s="28"/>
      <c r="V7" s="28"/>
      <c r="W7" s="28"/>
      <c r="X7" s="28"/>
    </row>
    <row r="8" spans="1:24" ht="14.25" customHeight="1">
      <c r="A8" s="28" t="s">
        <v>51</v>
      </c>
      <c r="B8" s="29" t="s">
        <v>27</v>
      </c>
      <c r="C8" s="29" t="s">
        <v>52</v>
      </c>
      <c r="D8" s="29">
        <v>398</v>
      </c>
      <c r="E8" s="29">
        <v>0.16</v>
      </c>
      <c r="F8" s="29">
        <v>4</v>
      </c>
      <c r="G8" s="30">
        <v>45119</v>
      </c>
      <c r="H8" s="30">
        <v>45124</v>
      </c>
      <c r="I8" s="29" t="s">
        <v>42</v>
      </c>
      <c r="J8" s="29" t="s">
        <v>29</v>
      </c>
      <c r="K8" s="29">
        <v>110.31</v>
      </c>
      <c r="L8" s="28" t="s">
        <v>18</v>
      </c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</row>
    <row r="9" spans="1:24" ht="14.25" customHeight="1">
      <c r="A9" s="28" t="s">
        <v>53</v>
      </c>
      <c r="B9" s="29" t="s">
        <v>35</v>
      </c>
      <c r="C9" s="29" t="s">
        <v>52</v>
      </c>
      <c r="D9" s="29">
        <v>1462.95</v>
      </c>
      <c r="E9" s="29">
        <v>0.23</v>
      </c>
      <c r="F9" s="29">
        <v>2</v>
      </c>
      <c r="G9" s="30">
        <v>45064</v>
      </c>
      <c r="H9" s="30">
        <v>45066</v>
      </c>
      <c r="I9" s="29" t="s">
        <v>22</v>
      </c>
      <c r="J9" s="29" t="s">
        <v>17</v>
      </c>
      <c r="K9" s="29">
        <v>91.68</v>
      </c>
      <c r="L9" s="28" t="s">
        <v>54</v>
      </c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</row>
    <row r="10" spans="1:24" ht="14.25" customHeight="1">
      <c r="A10" s="28" t="s">
        <v>55</v>
      </c>
      <c r="B10" s="29" t="s">
        <v>14</v>
      </c>
      <c r="C10" s="29" t="s">
        <v>52</v>
      </c>
      <c r="D10" s="29">
        <v>4997.47</v>
      </c>
      <c r="E10" s="29">
        <v>0.28999999999999998</v>
      </c>
      <c r="F10" s="29">
        <v>6</v>
      </c>
      <c r="G10" s="34">
        <v>45296</v>
      </c>
      <c r="H10" s="30">
        <v>45299</v>
      </c>
      <c r="I10" s="29" t="s">
        <v>22</v>
      </c>
      <c r="J10" s="29" t="s">
        <v>23</v>
      </c>
      <c r="K10" s="29">
        <v>995.78</v>
      </c>
      <c r="L10" s="28" t="s">
        <v>56</v>
      </c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</row>
    <row r="11" spans="1:24" ht="14.25" customHeight="1">
      <c r="A11" s="28" t="s">
        <v>57</v>
      </c>
      <c r="B11" s="29" t="s">
        <v>20</v>
      </c>
      <c r="C11" s="29" t="s">
        <v>47</v>
      </c>
      <c r="D11" s="29">
        <v>587.72</v>
      </c>
      <c r="E11" s="29">
        <v>0.44</v>
      </c>
      <c r="F11" s="29">
        <v>6</v>
      </c>
      <c r="G11" s="30">
        <v>45514</v>
      </c>
      <c r="H11" s="30">
        <v>45521</v>
      </c>
      <c r="I11" s="29" t="s">
        <v>42</v>
      </c>
      <c r="J11" s="29" t="s">
        <v>29</v>
      </c>
      <c r="K11" s="29">
        <v>102.96</v>
      </c>
      <c r="L11" s="28" t="s">
        <v>24</v>
      </c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</row>
    <row r="12" spans="1:24" ht="14.25" customHeight="1">
      <c r="A12" s="28" t="s">
        <v>58</v>
      </c>
      <c r="B12" s="29" t="s">
        <v>27</v>
      </c>
      <c r="C12" s="29" t="s">
        <v>15</v>
      </c>
      <c r="D12" s="29">
        <v>2581.42</v>
      </c>
      <c r="E12" s="29">
        <v>0.39</v>
      </c>
      <c r="F12" s="29">
        <v>6</v>
      </c>
      <c r="G12" s="30">
        <v>45419</v>
      </c>
      <c r="H12" s="30">
        <v>45420</v>
      </c>
      <c r="I12" s="29" t="s">
        <v>22</v>
      </c>
      <c r="J12" s="29" t="s">
        <v>29</v>
      </c>
      <c r="K12" s="29">
        <v>542.82000000000005</v>
      </c>
      <c r="L12" s="28" t="s">
        <v>59</v>
      </c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</row>
    <row r="13" spans="1:24" ht="14.25" customHeight="1">
      <c r="A13" s="28" t="s">
        <v>60</v>
      </c>
      <c r="B13" s="29" t="s">
        <v>35</v>
      </c>
      <c r="C13" s="29" t="s">
        <v>15</v>
      </c>
      <c r="D13" s="29">
        <v>4261.74</v>
      </c>
      <c r="E13" s="29">
        <v>0.15</v>
      </c>
      <c r="F13" s="29">
        <v>1</v>
      </c>
      <c r="G13" s="30">
        <v>45171</v>
      </c>
      <c r="H13" s="30">
        <v>45172</v>
      </c>
      <c r="I13" s="29" t="s">
        <v>42</v>
      </c>
      <c r="J13" s="29" t="s">
        <v>17</v>
      </c>
      <c r="K13" s="29">
        <v>1028.47</v>
      </c>
      <c r="L13" s="28" t="s">
        <v>56</v>
      </c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</row>
    <row r="14" spans="1:24" ht="14.25" customHeight="1">
      <c r="A14" s="28" t="s">
        <v>61</v>
      </c>
      <c r="B14" s="29" t="s">
        <v>14</v>
      </c>
      <c r="C14" s="29" t="s">
        <v>28</v>
      </c>
      <c r="D14" s="29">
        <v>1573.19</v>
      </c>
      <c r="E14" s="29">
        <v>0.37</v>
      </c>
      <c r="F14" s="29">
        <v>6</v>
      </c>
      <c r="G14" s="30">
        <v>45331</v>
      </c>
      <c r="H14" s="30">
        <v>45338</v>
      </c>
      <c r="I14" s="29" t="s">
        <v>42</v>
      </c>
      <c r="J14" s="29" t="s">
        <v>29</v>
      </c>
      <c r="K14" s="29">
        <v>131.5</v>
      </c>
      <c r="L14" s="28" t="s">
        <v>36</v>
      </c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</row>
    <row r="15" spans="1:24" ht="14.25" customHeight="1">
      <c r="A15" s="28" t="s">
        <v>62</v>
      </c>
      <c r="B15" s="29" t="s">
        <v>20</v>
      </c>
      <c r="C15" s="29" t="s">
        <v>15</v>
      </c>
      <c r="D15" s="29">
        <v>1377.47</v>
      </c>
      <c r="E15" s="29">
        <v>0.27</v>
      </c>
      <c r="F15" s="29">
        <v>2</v>
      </c>
      <c r="G15" s="30">
        <v>45074</v>
      </c>
      <c r="H15" s="30">
        <v>45075</v>
      </c>
      <c r="I15" s="29" t="s">
        <v>16</v>
      </c>
      <c r="J15" s="29" t="s">
        <v>29</v>
      </c>
      <c r="K15" s="29">
        <v>255.49</v>
      </c>
      <c r="L15" s="28" t="s">
        <v>63</v>
      </c>
      <c r="M15" s="28"/>
      <c r="N15" s="28">
        <v>9856342309</v>
      </c>
      <c r="O15" s="35" t="s">
        <v>64</v>
      </c>
      <c r="P15" s="28"/>
      <c r="Q15" s="28"/>
      <c r="R15" s="28"/>
      <c r="S15" s="28"/>
      <c r="T15" s="28"/>
      <c r="U15" s="28"/>
      <c r="V15" s="28"/>
      <c r="W15" s="28"/>
      <c r="X15" s="28"/>
    </row>
    <row r="16" spans="1:24" ht="14.25" customHeight="1">
      <c r="A16" s="28" t="s">
        <v>65</v>
      </c>
      <c r="B16" s="29" t="s">
        <v>27</v>
      </c>
      <c r="C16" s="29" t="s">
        <v>15</v>
      </c>
      <c r="D16" s="29">
        <v>4464.8900000000003</v>
      </c>
      <c r="E16" s="29">
        <v>0.39</v>
      </c>
      <c r="F16" s="29">
        <v>5</v>
      </c>
      <c r="G16" s="30">
        <v>45296</v>
      </c>
      <c r="H16" s="30">
        <v>45303</v>
      </c>
      <c r="I16" s="29" t="s">
        <v>22</v>
      </c>
      <c r="J16" s="29" t="s">
        <v>17</v>
      </c>
      <c r="K16" s="29">
        <v>804.36</v>
      </c>
      <c r="L16" s="28" t="s">
        <v>54</v>
      </c>
      <c r="M16" s="28"/>
      <c r="N16" s="28">
        <v>8945342219</v>
      </c>
      <c r="O16" s="36" t="s">
        <v>66</v>
      </c>
      <c r="P16" s="28"/>
      <c r="Q16" s="28"/>
      <c r="R16" s="28"/>
      <c r="S16" s="28"/>
      <c r="T16" s="28"/>
      <c r="U16" s="28"/>
      <c r="V16" s="28"/>
      <c r="W16" s="28"/>
      <c r="X16" s="28"/>
    </row>
    <row r="17" spans="1:24" ht="14.25" customHeight="1">
      <c r="A17" s="28" t="s">
        <v>67</v>
      </c>
      <c r="B17" s="29" t="s">
        <v>35</v>
      </c>
      <c r="C17" s="29" t="s">
        <v>52</v>
      </c>
      <c r="D17" s="29">
        <v>1593.67</v>
      </c>
      <c r="E17" s="29">
        <v>0.21</v>
      </c>
      <c r="F17" s="29">
        <v>7</v>
      </c>
      <c r="G17" s="30">
        <v>45583</v>
      </c>
      <c r="H17" s="30">
        <v>45587</v>
      </c>
      <c r="I17" s="29" t="s">
        <v>16</v>
      </c>
      <c r="J17" s="29" t="s">
        <v>23</v>
      </c>
      <c r="K17" s="29">
        <v>284.91000000000003</v>
      </c>
      <c r="L17" s="28" t="s">
        <v>56</v>
      </c>
      <c r="M17" s="28"/>
      <c r="N17" s="28">
        <v>9054894567</v>
      </c>
      <c r="O17" s="36" t="s">
        <v>68</v>
      </c>
      <c r="P17" s="28"/>
      <c r="Q17" s="28"/>
      <c r="R17" s="28"/>
      <c r="S17" s="28"/>
      <c r="T17" s="28"/>
      <c r="U17" s="28"/>
      <c r="V17" s="28"/>
      <c r="W17" s="28"/>
      <c r="X17" s="28"/>
    </row>
    <row r="18" spans="1:24" ht="14.25" customHeight="1">
      <c r="A18" s="28" t="s">
        <v>69</v>
      </c>
      <c r="B18" s="29" t="s">
        <v>14</v>
      </c>
      <c r="C18" s="29" t="s">
        <v>21</v>
      </c>
      <c r="D18" s="29">
        <v>3292.32</v>
      </c>
      <c r="E18" s="29">
        <v>0.05</v>
      </c>
      <c r="F18" s="29">
        <v>1</v>
      </c>
      <c r="G18" s="30">
        <v>45042</v>
      </c>
      <c r="H18" s="30">
        <v>45043</v>
      </c>
      <c r="I18" s="29" t="s">
        <v>16</v>
      </c>
      <c r="J18" s="29" t="s">
        <v>23</v>
      </c>
      <c r="K18" s="29">
        <v>504.83</v>
      </c>
      <c r="L18" s="28" t="s">
        <v>70</v>
      </c>
      <c r="M18" s="28"/>
      <c r="N18" s="28">
        <v>8495838349</v>
      </c>
      <c r="O18" s="36" t="s">
        <v>71</v>
      </c>
      <c r="P18" s="28"/>
      <c r="Q18" s="28"/>
      <c r="R18" s="28"/>
      <c r="S18" s="28"/>
      <c r="T18" s="28"/>
      <c r="U18" s="28"/>
      <c r="V18" s="28"/>
      <c r="W18" s="28"/>
      <c r="X18" s="28"/>
    </row>
    <row r="19" spans="1:24" ht="14.25" customHeight="1">
      <c r="A19" s="28" t="s">
        <v>72</v>
      </c>
      <c r="B19" s="29" t="s">
        <v>20</v>
      </c>
      <c r="C19" s="29" t="s">
        <v>15</v>
      </c>
      <c r="D19" s="29">
        <v>3727.53</v>
      </c>
      <c r="E19" s="29">
        <v>0.31</v>
      </c>
      <c r="F19" s="29">
        <v>5</v>
      </c>
      <c r="G19" s="30">
        <v>45228</v>
      </c>
      <c r="H19" s="30">
        <v>45235</v>
      </c>
      <c r="I19" s="29" t="s">
        <v>22</v>
      </c>
      <c r="J19" s="29" t="s">
        <v>23</v>
      </c>
      <c r="K19" s="29">
        <v>978.07</v>
      </c>
      <c r="L19" s="28" t="s">
        <v>59</v>
      </c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</row>
    <row r="20" spans="1:24" ht="14.25" customHeight="1">
      <c r="A20" s="28" t="s">
        <v>73</v>
      </c>
      <c r="B20" s="29" t="s">
        <v>27</v>
      </c>
      <c r="C20" s="29" t="s">
        <v>15</v>
      </c>
      <c r="D20" s="29">
        <v>3964.23</v>
      </c>
      <c r="E20" s="29">
        <v>0.28000000000000003</v>
      </c>
      <c r="F20" s="29">
        <v>9</v>
      </c>
      <c r="G20" s="30">
        <v>45448</v>
      </c>
      <c r="H20" s="30">
        <v>45451</v>
      </c>
      <c r="I20" s="29" t="s">
        <v>16</v>
      </c>
      <c r="J20" s="29" t="s">
        <v>17</v>
      </c>
      <c r="K20" s="29">
        <v>260.95</v>
      </c>
      <c r="L20" s="28" t="s">
        <v>74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</row>
    <row r="21" spans="1:24" ht="14.25" customHeight="1">
      <c r="A21" s="28" t="s">
        <v>75</v>
      </c>
      <c r="B21" s="29" t="s">
        <v>35</v>
      </c>
      <c r="C21" s="29" t="s">
        <v>47</v>
      </c>
      <c r="D21" s="29">
        <v>4974.32</v>
      </c>
      <c r="E21" s="29">
        <v>0.48</v>
      </c>
      <c r="F21" s="29">
        <v>3</v>
      </c>
      <c r="G21" s="30">
        <v>45047</v>
      </c>
      <c r="H21" s="30">
        <v>45051</v>
      </c>
      <c r="I21" s="29" t="s">
        <v>22</v>
      </c>
      <c r="J21" s="29" t="s">
        <v>23</v>
      </c>
      <c r="K21" s="29">
        <v>727.29</v>
      </c>
      <c r="L21" s="28" t="s">
        <v>54</v>
      </c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</row>
    <row r="22" spans="1:24" ht="14.25" customHeight="1">
      <c r="A22" s="28" t="s">
        <v>76</v>
      </c>
      <c r="B22" s="29" t="s">
        <v>14</v>
      </c>
      <c r="C22" s="29" t="s">
        <v>28</v>
      </c>
      <c r="D22" s="29">
        <v>4035.64</v>
      </c>
      <c r="E22" s="29">
        <v>0.08</v>
      </c>
      <c r="F22" s="29">
        <v>2</v>
      </c>
      <c r="G22" s="30">
        <v>45586</v>
      </c>
      <c r="H22" s="30">
        <v>45593</v>
      </c>
      <c r="I22" s="29" t="s">
        <v>22</v>
      </c>
      <c r="J22" s="29" t="s">
        <v>29</v>
      </c>
      <c r="K22" s="29">
        <v>798.81</v>
      </c>
      <c r="L22" s="28" t="s">
        <v>77</v>
      </c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</row>
    <row r="23" spans="1:24" ht="14.25" customHeight="1">
      <c r="A23" s="28" t="s">
        <v>78</v>
      </c>
      <c r="B23" s="29" t="s">
        <v>20</v>
      </c>
      <c r="C23" s="29" t="s">
        <v>47</v>
      </c>
      <c r="D23" s="29">
        <v>3319.36</v>
      </c>
      <c r="E23" s="29">
        <v>0.33</v>
      </c>
      <c r="F23" s="29">
        <v>2</v>
      </c>
      <c r="G23" s="30">
        <v>45153</v>
      </c>
      <c r="H23" s="30">
        <v>45159</v>
      </c>
      <c r="I23" s="29" t="s">
        <v>16</v>
      </c>
      <c r="J23" s="29" t="s">
        <v>29</v>
      </c>
      <c r="K23" s="29">
        <v>920.22</v>
      </c>
      <c r="L23" s="28" t="s">
        <v>54</v>
      </c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</row>
    <row r="24" spans="1:24" ht="14.25" customHeight="1">
      <c r="A24" s="28" t="s">
        <v>79</v>
      </c>
      <c r="B24" s="29" t="s">
        <v>27</v>
      </c>
      <c r="C24" s="29" t="s">
        <v>52</v>
      </c>
      <c r="D24" s="29">
        <v>4487.7700000000004</v>
      </c>
      <c r="E24" s="29">
        <v>0.24</v>
      </c>
      <c r="F24" s="29">
        <v>3</v>
      </c>
      <c r="G24" s="30">
        <v>45657</v>
      </c>
      <c r="H24" s="30">
        <v>45659</v>
      </c>
      <c r="I24" s="29" t="s">
        <v>22</v>
      </c>
      <c r="J24" s="29" t="s">
        <v>23</v>
      </c>
      <c r="K24" s="29">
        <v>931.37</v>
      </c>
      <c r="L24" s="28" t="s">
        <v>56</v>
      </c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</row>
    <row r="25" spans="1:24" ht="14.25" customHeight="1">
      <c r="A25" s="28" t="s">
        <v>80</v>
      </c>
      <c r="B25" s="29" t="s">
        <v>35</v>
      </c>
      <c r="C25" s="29" t="s">
        <v>21</v>
      </c>
      <c r="D25" s="29">
        <v>4538.1499999999996</v>
      </c>
      <c r="E25" s="29">
        <v>0.19</v>
      </c>
      <c r="F25" s="29">
        <v>1</v>
      </c>
      <c r="G25" s="30">
        <v>45005</v>
      </c>
      <c r="H25" s="30">
        <v>45008</v>
      </c>
      <c r="I25" s="29" t="s">
        <v>22</v>
      </c>
      <c r="J25" s="29" t="s">
        <v>29</v>
      </c>
      <c r="K25" s="29">
        <v>375.7</v>
      </c>
      <c r="L25" s="28" t="s">
        <v>37</v>
      </c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</row>
    <row r="26" spans="1:24" ht="14.25" customHeight="1">
      <c r="A26" s="28" t="s">
        <v>81</v>
      </c>
      <c r="B26" s="29" t="s">
        <v>14</v>
      </c>
      <c r="C26" s="29" t="s">
        <v>28</v>
      </c>
      <c r="D26" s="29">
        <v>4868.5200000000004</v>
      </c>
      <c r="E26" s="29">
        <v>0.4</v>
      </c>
      <c r="F26" s="29">
        <v>2</v>
      </c>
      <c r="G26" s="30">
        <v>45272</v>
      </c>
      <c r="H26" s="30">
        <v>45273</v>
      </c>
      <c r="I26" s="29" t="s">
        <v>22</v>
      </c>
      <c r="J26" s="29" t="s">
        <v>29</v>
      </c>
      <c r="K26" s="29">
        <v>1072.26</v>
      </c>
      <c r="L26" s="28" t="s">
        <v>82</v>
      </c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</row>
    <row r="27" spans="1:24" ht="14.25" customHeight="1">
      <c r="A27" s="28" t="s">
        <v>83</v>
      </c>
      <c r="B27" s="29" t="s">
        <v>20</v>
      </c>
      <c r="C27" s="29" t="s">
        <v>47</v>
      </c>
      <c r="D27" s="29">
        <v>3904.68</v>
      </c>
      <c r="E27" s="29">
        <v>0.41</v>
      </c>
      <c r="F27" s="29">
        <v>6</v>
      </c>
      <c r="G27" s="30">
        <v>45066</v>
      </c>
      <c r="H27" s="30">
        <v>45072</v>
      </c>
      <c r="I27" s="29" t="s">
        <v>22</v>
      </c>
      <c r="J27" s="29" t="s">
        <v>23</v>
      </c>
      <c r="K27" s="29">
        <v>526.66</v>
      </c>
      <c r="L27" s="28" t="s">
        <v>84</v>
      </c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</row>
    <row r="28" spans="1:24" ht="14.25" customHeight="1">
      <c r="A28" s="28" t="s">
        <v>85</v>
      </c>
      <c r="B28" s="29" t="s">
        <v>27</v>
      </c>
      <c r="C28" s="29" t="s">
        <v>15</v>
      </c>
      <c r="D28" s="29">
        <v>1055.1400000000001</v>
      </c>
      <c r="E28" s="29">
        <v>0.36</v>
      </c>
      <c r="F28" s="29">
        <v>8</v>
      </c>
      <c r="G28" s="30">
        <v>45462</v>
      </c>
      <c r="H28" s="30">
        <v>45468</v>
      </c>
      <c r="I28" s="29" t="s">
        <v>16</v>
      </c>
      <c r="J28" s="29" t="s">
        <v>17</v>
      </c>
      <c r="K28" s="29">
        <v>207.61</v>
      </c>
      <c r="L28" s="28" t="s">
        <v>77</v>
      </c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</row>
    <row r="29" spans="1:24" ht="14.25" customHeight="1">
      <c r="A29" s="28" t="s">
        <v>86</v>
      </c>
      <c r="B29" s="29" t="s">
        <v>35</v>
      </c>
      <c r="C29" s="29" t="s">
        <v>15</v>
      </c>
      <c r="D29" s="29">
        <v>3578.05</v>
      </c>
      <c r="E29" s="29">
        <v>0.04</v>
      </c>
      <c r="F29" s="29">
        <v>4</v>
      </c>
      <c r="G29" s="30">
        <v>45215</v>
      </c>
      <c r="H29" s="30">
        <v>45217</v>
      </c>
      <c r="I29" s="29" t="s">
        <v>42</v>
      </c>
      <c r="J29" s="29" t="s">
        <v>23</v>
      </c>
      <c r="K29" s="29">
        <v>689.74</v>
      </c>
      <c r="L29" s="28" t="s">
        <v>87</v>
      </c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</row>
    <row r="30" spans="1:24" ht="14.25" customHeight="1">
      <c r="A30" s="28" t="s">
        <v>88</v>
      </c>
      <c r="B30" s="29" t="s">
        <v>14</v>
      </c>
      <c r="C30" s="29" t="s">
        <v>28</v>
      </c>
      <c r="D30" s="29">
        <v>468.13</v>
      </c>
      <c r="E30" s="29">
        <v>0.17</v>
      </c>
      <c r="F30" s="29">
        <v>2</v>
      </c>
      <c r="G30" s="30">
        <v>45255</v>
      </c>
      <c r="H30" s="30">
        <v>45261</v>
      </c>
      <c r="I30" s="29" t="s">
        <v>16</v>
      </c>
      <c r="J30" s="29" t="s">
        <v>17</v>
      </c>
      <c r="K30" s="29">
        <v>43.58</v>
      </c>
      <c r="L30" s="28" t="s">
        <v>56</v>
      </c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</row>
    <row r="31" spans="1:24" ht="14.25" customHeight="1">
      <c r="A31" s="28" t="s">
        <v>89</v>
      </c>
      <c r="B31" s="29" t="s">
        <v>20</v>
      </c>
      <c r="C31" s="29" t="s">
        <v>15</v>
      </c>
      <c r="D31" s="29">
        <v>1658.02</v>
      </c>
      <c r="E31" s="29">
        <v>0.02</v>
      </c>
      <c r="F31" s="29">
        <v>5</v>
      </c>
      <c r="G31" s="30">
        <v>45356</v>
      </c>
      <c r="H31" s="30">
        <v>45357</v>
      </c>
      <c r="I31" s="29" t="s">
        <v>42</v>
      </c>
      <c r="J31" s="29" t="s">
        <v>29</v>
      </c>
      <c r="K31" s="29">
        <v>422.33</v>
      </c>
      <c r="L31" s="28" t="s">
        <v>37</v>
      </c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</row>
    <row r="32" spans="1:24" ht="14.25" customHeight="1">
      <c r="A32" s="28" t="s">
        <v>90</v>
      </c>
      <c r="B32" s="29" t="s">
        <v>27</v>
      </c>
      <c r="C32" s="29" t="s">
        <v>47</v>
      </c>
      <c r="D32" s="29">
        <v>667.46</v>
      </c>
      <c r="E32" s="29">
        <v>0.17</v>
      </c>
      <c r="F32" s="29">
        <v>3</v>
      </c>
      <c r="G32" s="30">
        <v>45026</v>
      </c>
      <c r="H32" s="30">
        <v>45031</v>
      </c>
      <c r="I32" s="29" t="s">
        <v>42</v>
      </c>
      <c r="J32" s="29" t="s">
        <v>23</v>
      </c>
      <c r="K32" s="29">
        <v>123.49</v>
      </c>
      <c r="L32" s="28" t="s">
        <v>87</v>
      </c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</row>
    <row r="33" spans="1:24" ht="14.25" customHeight="1">
      <c r="A33" s="28" t="s">
        <v>91</v>
      </c>
      <c r="B33" s="29" t="s">
        <v>35</v>
      </c>
      <c r="C33" s="29" t="s">
        <v>47</v>
      </c>
      <c r="D33" s="29">
        <v>4754.72</v>
      </c>
      <c r="E33" s="29">
        <v>0.32</v>
      </c>
      <c r="F33" s="29">
        <v>5</v>
      </c>
      <c r="G33" s="30">
        <v>45527</v>
      </c>
      <c r="H33" s="30">
        <v>45531</v>
      </c>
      <c r="I33" s="29" t="s">
        <v>42</v>
      </c>
      <c r="J33" s="29" t="s">
        <v>29</v>
      </c>
      <c r="K33" s="29">
        <v>697.03</v>
      </c>
      <c r="L33" s="28" t="s">
        <v>18</v>
      </c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</row>
    <row r="34" spans="1:24" ht="14.25" customHeight="1">
      <c r="A34" s="28" t="s">
        <v>92</v>
      </c>
      <c r="B34" s="29" t="s">
        <v>14</v>
      </c>
      <c r="C34" s="29" t="s">
        <v>15</v>
      </c>
      <c r="D34" s="29">
        <v>1759.9</v>
      </c>
      <c r="E34" s="29">
        <v>0.26</v>
      </c>
      <c r="F34" s="29">
        <v>3</v>
      </c>
      <c r="G34" s="30">
        <v>44933</v>
      </c>
      <c r="H34" s="30">
        <v>44939</v>
      </c>
      <c r="I34" s="29" t="s">
        <v>22</v>
      </c>
      <c r="J34" s="29" t="s">
        <v>29</v>
      </c>
      <c r="K34" s="29">
        <v>178.58</v>
      </c>
      <c r="L34" s="28" t="s">
        <v>74</v>
      </c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</row>
    <row r="35" spans="1:24" ht="14.25" customHeight="1">
      <c r="A35" s="28" t="s">
        <v>93</v>
      </c>
      <c r="B35" s="29" t="s">
        <v>20</v>
      </c>
      <c r="C35" s="29" t="s">
        <v>15</v>
      </c>
      <c r="D35" s="29">
        <v>3594.76</v>
      </c>
      <c r="E35" s="29">
        <v>0.35</v>
      </c>
      <c r="F35" s="29">
        <v>4</v>
      </c>
      <c r="G35" s="30">
        <v>45097</v>
      </c>
      <c r="H35" s="30">
        <v>45099</v>
      </c>
      <c r="I35" s="29" t="s">
        <v>42</v>
      </c>
      <c r="J35" s="29" t="s">
        <v>17</v>
      </c>
      <c r="K35" s="29">
        <v>1002.97</v>
      </c>
      <c r="L35" s="28" t="s">
        <v>30</v>
      </c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</row>
    <row r="36" spans="1:24" ht="14.25" customHeight="1">
      <c r="A36" s="28" t="s">
        <v>94</v>
      </c>
      <c r="B36" s="29" t="s">
        <v>27</v>
      </c>
      <c r="C36" s="29" t="s">
        <v>52</v>
      </c>
      <c r="D36" s="29">
        <v>2899.46</v>
      </c>
      <c r="E36" s="29">
        <v>0.28000000000000003</v>
      </c>
      <c r="F36" s="29">
        <v>5</v>
      </c>
      <c r="G36" s="30">
        <v>45189</v>
      </c>
      <c r="H36" s="30">
        <v>45190</v>
      </c>
      <c r="I36" s="29" t="s">
        <v>22</v>
      </c>
      <c r="J36" s="29" t="s">
        <v>29</v>
      </c>
      <c r="K36" s="29">
        <v>320.43</v>
      </c>
      <c r="L36" s="28" t="s">
        <v>18</v>
      </c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</row>
    <row r="37" spans="1:24" ht="14.25" customHeight="1">
      <c r="A37" s="28" t="s">
        <v>95</v>
      </c>
      <c r="B37" s="29" t="s">
        <v>35</v>
      </c>
      <c r="C37" s="29" t="s">
        <v>21</v>
      </c>
      <c r="D37" s="29">
        <v>626.80999999999995</v>
      </c>
      <c r="E37" s="29">
        <v>0.28000000000000003</v>
      </c>
      <c r="F37" s="29">
        <v>7</v>
      </c>
      <c r="G37" s="30">
        <v>45298</v>
      </c>
      <c r="H37" s="30">
        <v>45303</v>
      </c>
      <c r="I37" s="29" t="s">
        <v>22</v>
      </c>
      <c r="J37" s="29" t="s">
        <v>17</v>
      </c>
      <c r="K37" s="29">
        <v>177.84</v>
      </c>
      <c r="L37" s="28" t="s">
        <v>74</v>
      </c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</row>
    <row r="38" spans="1:24" ht="14.25" customHeight="1">
      <c r="A38" s="28" t="s">
        <v>96</v>
      </c>
      <c r="B38" s="29" t="s">
        <v>14</v>
      </c>
      <c r="C38" s="29" t="s">
        <v>28</v>
      </c>
      <c r="D38" s="29">
        <v>2850.59</v>
      </c>
      <c r="E38" s="29">
        <v>0.26</v>
      </c>
      <c r="F38" s="29">
        <v>2</v>
      </c>
      <c r="G38" s="30">
        <v>45470</v>
      </c>
      <c r="H38" s="30">
        <v>45474</v>
      </c>
      <c r="I38" s="29" t="s">
        <v>22</v>
      </c>
      <c r="J38" s="29" t="s">
        <v>23</v>
      </c>
      <c r="K38" s="29">
        <v>528.38</v>
      </c>
      <c r="L38" s="28" t="s">
        <v>18</v>
      </c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</row>
    <row r="39" spans="1:24" ht="14.25" customHeight="1">
      <c r="A39" s="28" t="s">
        <v>97</v>
      </c>
      <c r="B39" s="29" t="s">
        <v>20</v>
      </c>
      <c r="C39" s="29" t="s">
        <v>47</v>
      </c>
      <c r="D39" s="29">
        <v>3339.02</v>
      </c>
      <c r="E39" s="29">
        <v>0.18</v>
      </c>
      <c r="F39" s="29">
        <v>6</v>
      </c>
      <c r="G39" s="30">
        <v>45651</v>
      </c>
      <c r="H39" s="30">
        <v>45652</v>
      </c>
      <c r="I39" s="29" t="s">
        <v>16</v>
      </c>
      <c r="J39" s="29" t="s">
        <v>29</v>
      </c>
      <c r="K39" s="29">
        <v>586.69000000000005</v>
      </c>
      <c r="L39" s="28" t="s">
        <v>25</v>
      </c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</row>
    <row r="40" spans="1:24" ht="14.25" customHeight="1">
      <c r="A40" s="28" t="s">
        <v>98</v>
      </c>
      <c r="B40" s="29" t="s">
        <v>27</v>
      </c>
      <c r="C40" s="29" t="s">
        <v>28</v>
      </c>
      <c r="D40" s="29">
        <v>4419.43</v>
      </c>
      <c r="E40" s="29">
        <v>0.22</v>
      </c>
      <c r="F40" s="29">
        <v>6</v>
      </c>
      <c r="G40" s="30">
        <v>45423</v>
      </c>
      <c r="H40" s="30">
        <v>45426</v>
      </c>
      <c r="I40" s="29" t="s">
        <v>42</v>
      </c>
      <c r="J40" s="29" t="s">
        <v>17</v>
      </c>
      <c r="K40" s="29">
        <v>742.22</v>
      </c>
      <c r="L40" s="28" t="s">
        <v>37</v>
      </c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</row>
    <row r="41" spans="1:24" ht="14.25" customHeight="1">
      <c r="A41" s="28" t="s">
        <v>99</v>
      </c>
      <c r="B41" s="29" t="s">
        <v>35</v>
      </c>
      <c r="C41" s="29" t="s">
        <v>52</v>
      </c>
      <c r="D41" s="29">
        <v>443.42</v>
      </c>
      <c r="E41" s="29">
        <v>0.06</v>
      </c>
      <c r="F41" s="29">
        <v>6</v>
      </c>
      <c r="G41" s="30">
        <v>44985</v>
      </c>
      <c r="H41" s="30">
        <v>44990</v>
      </c>
      <c r="I41" s="29" t="s">
        <v>16</v>
      </c>
      <c r="J41" s="29" t="s">
        <v>23</v>
      </c>
      <c r="K41" s="29">
        <v>119.91</v>
      </c>
      <c r="L41" s="28" t="s">
        <v>54</v>
      </c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</row>
    <row r="42" spans="1:24" ht="14.25" customHeight="1">
      <c r="A42" s="28" t="s">
        <v>100</v>
      </c>
      <c r="B42" s="29" t="s">
        <v>14</v>
      </c>
      <c r="C42" s="29" t="s">
        <v>47</v>
      </c>
      <c r="D42" s="29">
        <v>1548.61</v>
      </c>
      <c r="E42" s="29">
        <v>0.42</v>
      </c>
      <c r="F42" s="29">
        <v>7</v>
      </c>
      <c r="G42" s="30">
        <v>45261</v>
      </c>
      <c r="H42" s="30">
        <v>45263</v>
      </c>
      <c r="I42" s="29" t="s">
        <v>22</v>
      </c>
      <c r="J42" s="29" t="s">
        <v>29</v>
      </c>
      <c r="K42" s="29">
        <v>392.57</v>
      </c>
      <c r="L42" s="28" t="s">
        <v>25</v>
      </c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</row>
    <row r="43" spans="1:24" ht="14.25" customHeight="1">
      <c r="A43" s="28" t="s">
        <v>101</v>
      </c>
      <c r="B43" s="29" t="s">
        <v>20</v>
      </c>
      <c r="C43" s="29" t="s">
        <v>52</v>
      </c>
      <c r="D43" s="29">
        <v>3492.47</v>
      </c>
      <c r="E43" s="29">
        <v>0.44</v>
      </c>
      <c r="F43" s="29">
        <v>3</v>
      </c>
      <c r="G43" s="30">
        <v>44956</v>
      </c>
      <c r="H43" s="30">
        <v>44957</v>
      </c>
      <c r="I43" s="29" t="s">
        <v>16</v>
      </c>
      <c r="J43" s="29" t="s">
        <v>23</v>
      </c>
      <c r="K43" s="29">
        <v>765.08</v>
      </c>
      <c r="L43" s="28" t="s">
        <v>87</v>
      </c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</row>
    <row r="44" spans="1:24" ht="14.25" customHeight="1">
      <c r="A44" s="28" t="s">
        <v>102</v>
      </c>
      <c r="B44" s="29" t="s">
        <v>27</v>
      </c>
      <c r="C44" s="29" t="s">
        <v>52</v>
      </c>
      <c r="D44" s="29">
        <v>268.23</v>
      </c>
      <c r="E44" s="29">
        <v>0.38</v>
      </c>
      <c r="F44" s="29">
        <v>5</v>
      </c>
      <c r="G44" s="30">
        <v>45186</v>
      </c>
      <c r="H44" s="30">
        <v>45188</v>
      </c>
      <c r="I44" s="29" t="s">
        <v>22</v>
      </c>
      <c r="J44" s="29" t="s">
        <v>29</v>
      </c>
      <c r="K44" s="29">
        <v>48.54</v>
      </c>
      <c r="L44" s="28" t="s">
        <v>87</v>
      </c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</row>
    <row r="45" spans="1:24" ht="14.25" customHeight="1">
      <c r="A45" s="28" t="s">
        <v>103</v>
      </c>
      <c r="B45" s="29" t="s">
        <v>35</v>
      </c>
      <c r="C45" s="29" t="s">
        <v>15</v>
      </c>
      <c r="D45" s="29">
        <v>1097.4100000000001</v>
      </c>
      <c r="E45" s="29">
        <v>0.28999999999999998</v>
      </c>
      <c r="F45" s="29">
        <v>9</v>
      </c>
      <c r="G45" s="30">
        <v>45472</v>
      </c>
      <c r="H45" s="30">
        <v>45475</v>
      </c>
      <c r="I45" s="29" t="s">
        <v>16</v>
      </c>
      <c r="J45" s="29" t="s">
        <v>29</v>
      </c>
      <c r="K45" s="29">
        <v>235.05</v>
      </c>
      <c r="L45" s="28" t="s">
        <v>56</v>
      </c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</row>
    <row r="46" spans="1:24" ht="14.25" customHeight="1">
      <c r="A46" s="28" t="s">
        <v>104</v>
      </c>
      <c r="B46" s="29" t="s">
        <v>14</v>
      </c>
      <c r="C46" s="29" t="s">
        <v>28</v>
      </c>
      <c r="D46" s="29">
        <v>1171.48</v>
      </c>
      <c r="E46" s="29">
        <v>0.28000000000000003</v>
      </c>
      <c r="F46" s="29">
        <v>9</v>
      </c>
      <c r="G46" s="30">
        <v>45063</v>
      </c>
      <c r="H46" s="30">
        <v>45065</v>
      </c>
      <c r="I46" s="29" t="s">
        <v>22</v>
      </c>
      <c r="J46" s="29" t="s">
        <v>23</v>
      </c>
      <c r="K46" s="29">
        <v>129.80000000000001</v>
      </c>
      <c r="L46" s="28" t="s">
        <v>56</v>
      </c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</row>
    <row r="47" spans="1:24" ht="14.25" customHeight="1">
      <c r="A47" s="28" t="s">
        <v>105</v>
      </c>
      <c r="B47" s="29" t="s">
        <v>20</v>
      </c>
      <c r="C47" s="29" t="s">
        <v>28</v>
      </c>
      <c r="D47" s="29">
        <v>3379.7</v>
      </c>
      <c r="E47" s="29">
        <v>0.24</v>
      </c>
      <c r="F47" s="29">
        <v>7</v>
      </c>
      <c r="G47" s="30">
        <v>45242</v>
      </c>
      <c r="H47" s="30">
        <v>45247</v>
      </c>
      <c r="I47" s="29" t="s">
        <v>22</v>
      </c>
      <c r="J47" s="29" t="s">
        <v>29</v>
      </c>
      <c r="K47" s="29">
        <v>588.79</v>
      </c>
      <c r="L47" s="28" t="s">
        <v>18</v>
      </c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</row>
    <row r="48" spans="1:24" ht="14.25" customHeight="1">
      <c r="A48" s="28" t="s">
        <v>106</v>
      </c>
      <c r="B48" s="29" t="s">
        <v>27</v>
      </c>
      <c r="C48" s="29" t="s">
        <v>15</v>
      </c>
      <c r="D48" s="29">
        <v>1501.21</v>
      </c>
      <c r="E48" s="29">
        <v>0.12</v>
      </c>
      <c r="F48" s="29">
        <v>9</v>
      </c>
      <c r="G48" s="30">
        <v>45386</v>
      </c>
      <c r="H48" s="30">
        <v>45390</v>
      </c>
      <c r="I48" s="29" t="s">
        <v>16</v>
      </c>
      <c r="J48" s="29" t="s">
        <v>23</v>
      </c>
      <c r="K48" s="29">
        <v>127.89</v>
      </c>
      <c r="L48" s="28" t="s">
        <v>70</v>
      </c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</row>
    <row r="49" spans="1:24" ht="14.25" customHeight="1">
      <c r="A49" s="28" t="s">
        <v>107</v>
      </c>
      <c r="B49" s="29" t="s">
        <v>35</v>
      </c>
      <c r="C49" s="29" t="s">
        <v>28</v>
      </c>
      <c r="D49" s="29">
        <v>3038.02</v>
      </c>
      <c r="E49" s="29">
        <v>0.19</v>
      </c>
      <c r="F49" s="29">
        <v>3</v>
      </c>
      <c r="G49" s="30">
        <v>45334</v>
      </c>
      <c r="H49" s="30">
        <v>45341</v>
      </c>
      <c r="I49" s="29" t="s">
        <v>22</v>
      </c>
      <c r="J49" s="29" t="s">
        <v>29</v>
      </c>
      <c r="K49" s="29">
        <v>249.34</v>
      </c>
      <c r="L49" s="28" t="s">
        <v>36</v>
      </c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</row>
    <row r="50" spans="1:24" ht="14.25" customHeight="1">
      <c r="A50" s="28" t="s">
        <v>108</v>
      </c>
      <c r="B50" s="29" t="s">
        <v>14</v>
      </c>
      <c r="C50" s="29" t="s">
        <v>15</v>
      </c>
      <c r="D50" s="29">
        <v>4830.21</v>
      </c>
      <c r="E50" s="29">
        <v>0.49</v>
      </c>
      <c r="F50" s="29">
        <v>7</v>
      </c>
      <c r="G50" s="30">
        <v>45553</v>
      </c>
      <c r="H50" s="30">
        <v>45560</v>
      </c>
      <c r="I50" s="29" t="s">
        <v>42</v>
      </c>
      <c r="J50" s="29" t="s">
        <v>29</v>
      </c>
      <c r="K50" s="29">
        <v>1097.26</v>
      </c>
      <c r="L50" s="28" t="s">
        <v>77</v>
      </c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</row>
    <row r="51" spans="1:24" ht="14.25" customHeight="1">
      <c r="A51" s="28" t="s">
        <v>109</v>
      </c>
      <c r="B51" s="29" t="s">
        <v>20</v>
      </c>
      <c r="C51" s="29" t="s">
        <v>47</v>
      </c>
      <c r="D51" s="29">
        <v>3986.89</v>
      </c>
      <c r="E51" s="29">
        <v>7.0000000000000007E-2</v>
      </c>
      <c r="F51" s="29">
        <v>1</v>
      </c>
      <c r="G51" s="30">
        <v>45109</v>
      </c>
      <c r="H51" s="30">
        <v>45110</v>
      </c>
      <c r="I51" s="29" t="s">
        <v>16</v>
      </c>
      <c r="J51" s="29" t="s">
        <v>29</v>
      </c>
      <c r="K51" s="29">
        <v>1139.21</v>
      </c>
      <c r="L51" s="28" t="s">
        <v>54</v>
      </c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</row>
    <row r="52" spans="1:24" ht="14.25" customHeight="1">
      <c r="A52" s="28" t="s">
        <v>110</v>
      </c>
      <c r="B52" s="29" t="s">
        <v>27</v>
      </c>
      <c r="C52" s="29" t="s">
        <v>52</v>
      </c>
      <c r="D52" s="29">
        <v>1731.22</v>
      </c>
      <c r="E52" s="29">
        <v>0.27</v>
      </c>
      <c r="F52" s="29">
        <v>7</v>
      </c>
      <c r="G52" s="30">
        <v>45173</v>
      </c>
      <c r="H52" s="30">
        <v>45180</v>
      </c>
      <c r="I52" s="29" t="s">
        <v>16</v>
      </c>
      <c r="J52" s="29" t="s">
        <v>17</v>
      </c>
      <c r="K52" s="29">
        <v>433.9</v>
      </c>
      <c r="L52" s="28" t="s">
        <v>30</v>
      </c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</row>
    <row r="53" spans="1:24" ht="14.25" customHeight="1">
      <c r="A53" s="28" t="s">
        <v>111</v>
      </c>
      <c r="B53" s="29" t="s">
        <v>35</v>
      </c>
      <c r="C53" s="29" t="s">
        <v>52</v>
      </c>
      <c r="D53" s="29">
        <v>2414.7600000000002</v>
      </c>
      <c r="E53" s="29">
        <v>0.43</v>
      </c>
      <c r="F53" s="29">
        <v>3</v>
      </c>
      <c r="G53" s="30">
        <v>44955</v>
      </c>
      <c r="H53" s="30">
        <v>44961</v>
      </c>
      <c r="I53" s="29" t="s">
        <v>22</v>
      </c>
      <c r="J53" s="29" t="s">
        <v>29</v>
      </c>
      <c r="K53" s="29">
        <v>687.58</v>
      </c>
      <c r="L53" s="28" t="s">
        <v>24</v>
      </c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</row>
    <row r="54" spans="1:24" ht="14.25" customHeight="1">
      <c r="A54" s="28" t="s">
        <v>112</v>
      </c>
      <c r="B54" s="29" t="s">
        <v>14</v>
      </c>
      <c r="C54" s="29" t="s">
        <v>28</v>
      </c>
      <c r="D54" s="29">
        <v>1083.3</v>
      </c>
      <c r="E54" s="29">
        <v>0.23</v>
      </c>
      <c r="F54" s="29">
        <v>3</v>
      </c>
      <c r="G54" s="30">
        <v>45236</v>
      </c>
      <c r="H54" s="30">
        <v>45240</v>
      </c>
      <c r="I54" s="29" t="s">
        <v>16</v>
      </c>
      <c r="J54" s="29" t="s">
        <v>29</v>
      </c>
      <c r="K54" s="29">
        <v>114.25</v>
      </c>
      <c r="L54" s="28" t="s">
        <v>113</v>
      </c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</row>
    <row r="55" spans="1:24" ht="14.25" customHeight="1">
      <c r="A55" s="28" t="s">
        <v>114</v>
      </c>
      <c r="B55" s="29" t="s">
        <v>20</v>
      </c>
      <c r="C55" s="29" t="s">
        <v>21</v>
      </c>
      <c r="D55" s="29">
        <v>177.03</v>
      </c>
      <c r="E55" s="29">
        <v>0.3</v>
      </c>
      <c r="F55" s="29">
        <v>7</v>
      </c>
      <c r="G55" s="30">
        <v>45105</v>
      </c>
      <c r="H55" s="30">
        <v>45106</v>
      </c>
      <c r="I55" s="29" t="s">
        <v>42</v>
      </c>
      <c r="J55" s="29" t="s">
        <v>17</v>
      </c>
      <c r="K55" s="29">
        <v>20.43</v>
      </c>
      <c r="L55" s="28" t="s">
        <v>54</v>
      </c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</row>
    <row r="56" spans="1:24" ht="14.25" customHeight="1">
      <c r="A56" s="28" t="s">
        <v>115</v>
      </c>
      <c r="B56" s="29" t="s">
        <v>27</v>
      </c>
      <c r="C56" s="29" t="s">
        <v>52</v>
      </c>
      <c r="D56" s="29">
        <v>1519.61</v>
      </c>
      <c r="E56" s="29">
        <v>0.41</v>
      </c>
      <c r="F56" s="29">
        <v>8</v>
      </c>
      <c r="G56" s="30">
        <v>45431</v>
      </c>
      <c r="H56" s="30">
        <v>45438</v>
      </c>
      <c r="I56" s="29" t="s">
        <v>16</v>
      </c>
      <c r="J56" s="29" t="s">
        <v>17</v>
      </c>
      <c r="K56" s="29">
        <v>237.01</v>
      </c>
      <c r="L56" s="28" t="s">
        <v>56</v>
      </c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</row>
    <row r="57" spans="1:24" ht="14.25" customHeight="1">
      <c r="A57" s="28" t="s">
        <v>116</v>
      </c>
      <c r="B57" s="29" t="s">
        <v>35</v>
      </c>
      <c r="C57" s="29" t="s">
        <v>15</v>
      </c>
      <c r="D57" s="29">
        <v>1910.1</v>
      </c>
      <c r="E57" s="29">
        <v>0.27</v>
      </c>
      <c r="F57" s="29">
        <v>4</v>
      </c>
      <c r="G57" s="30">
        <v>45303</v>
      </c>
      <c r="H57" s="30">
        <v>45305</v>
      </c>
      <c r="I57" s="29" t="s">
        <v>42</v>
      </c>
      <c r="J57" s="29" t="s">
        <v>29</v>
      </c>
      <c r="K57" s="29">
        <v>278.48</v>
      </c>
      <c r="L57" s="28" t="s">
        <v>37</v>
      </c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</row>
    <row r="58" spans="1:24" ht="14.25" customHeight="1">
      <c r="A58" s="28" t="s">
        <v>117</v>
      </c>
      <c r="B58" s="29" t="s">
        <v>14</v>
      </c>
      <c r="C58" s="29" t="s">
        <v>21</v>
      </c>
      <c r="D58" s="29">
        <v>2865.4</v>
      </c>
      <c r="E58" s="29">
        <v>0.37</v>
      </c>
      <c r="F58" s="29">
        <v>1</v>
      </c>
      <c r="G58" s="30">
        <v>45204</v>
      </c>
      <c r="H58" s="30">
        <v>45206</v>
      </c>
      <c r="I58" s="29" t="s">
        <v>16</v>
      </c>
      <c r="J58" s="29" t="s">
        <v>29</v>
      </c>
      <c r="K58" s="29">
        <v>356.81</v>
      </c>
      <c r="L58" s="28" t="s">
        <v>118</v>
      </c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</row>
    <row r="59" spans="1:24" ht="14.25" customHeight="1">
      <c r="A59" s="28" t="s">
        <v>119</v>
      </c>
      <c r="B59" s="29" t="s">
        <v>20</v>
      </c>
      <c r="C59" s="29" t="s">
        <v>21</v>
      </c>
      <c r="D59" s="29">
        <v>4725.93</v>
      </c>
      <c r="E59" s="29">
        <v>0.17</v>
      </c>
      <c r="F59" s="29">
        <v>5</v>
      </c>
      <c r="G59" s="30">
        <v>45409</v>
      </c>
      <c r="H59" s="30">
        <v>45416</v>
      </c>
      <c r="I59" s="29" t="s">
        <v>42</v>
      </c>
      <c r="J59" s="29" t="s">
        <v>29</v>
      </c>
      <c r="K59" s="29">
        <v>581.75</v>
      </c>
      <c r="L59" s="28" t="s">
        <v>113</v>
      </c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</row>
    <row r="60" spans="1:24" ht="14.25" customHeight="1">
      <c r="A60" s="28" t="s">
        <v>120</v>
      </c>
      <c r="B60" s="29" t="s">
        <v>27</v>
      </c>
      <c r="C60" s="29" t="s">
        <v>52</v>
      </c>
      <c r="D60" s="29">
        <v>4744.4799999999996</v>
      </c>
      <c r="E60" s="29">
        <v>0.37</v>
      </c>
      <c r="F60" s="29">
        <v>4</v>
      </c>
      <c r="G60" s="30">
        <v>45202</v>
      </c>
      <c r="H60" s="30">
        <v>45207</v>
      </c>
      <c r="I60" s="29" t="s">
        <v>16</v>
      </c>
      <c r="J60" s="29" t="s">
        <v>23</v>
      </c>
      <c r="K60" s="29">
        <v>1320.22</v>
      </c>
      <c r="L60" s="28" t="s">
        <v>82</v>
      </c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</row>
    <row r="61" spans="1:24" ht="14.25" customHeight="1">
      <c r="A61" s="28" t="s">
        <v>121</v>
      </c>
      <c r="B61" s="29" t="s">
        <v>35</v>
      </c>
      <c r="C61" s="29" t="s">
        <v>52</v>
      </c>
      <c r="D61" s="29">
        <v>443.48</v>
      </c>
      <c r="E61" s="29">
        <v>0.02</v>
      </c>
      <c r="F61" s="29">
        <v>9</v>
      </c>
      <c r="G61" s="30">
        <v>45219</v>
      </c>
      <c r="H61" s="30">
        <v>45221</v>
      </c>
      <c r="I61" s="29" t="s">
        <v>42</v>
      </c>
      <c r="J61" s="29" t="s">
        <v>23</v>
      </c>
      <c r="K61" s="29">
        <v>42.23</v>
      </c>
      <c r="L61" s="28" t="s">
        <v>18</v>
      </c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</row>
    <row r="62" spans="1:24" ht="14.25" customHeight="1">
      <c r="A62" s="28" t="s">
        <v>122</v>
      </c>
      <c r="B62" s="29" t="s">
        <v>14</v>
      </c>
      <c r="C62" s="29" t="s">
        <v>52</v>
      </c>
      <c r="D62" s="29">
        <v>3111.76</v>
      </c>
      <c r="E62" s="29">
        <v>0.08</v>
      </c>
      <c r="F62" s="29">
        <v>3</v>
      </c>
      <c r="G62" s="30">
        <v>45054</v>
      </c>
      <c r="H62" s="30">
        <v>45057</v>
      </c>
      <c r="I62" s="29" t="s">
        <v>22</v>
      </c>
      <c r="J62" s="29" t="s">
        <v>23</v>
      </c>
      <c r="K62" s="29">
        <v>835.81</v>
      </c>
      <c r="L62" s="28" t="s">
        <v>84</v>
      </c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</row>
    <row r="63" spans="1:24" ht="14.25" customHeight="1">
      <c r="A63" s="28" t="s">
        <v>123</v>
      </c>
      <c r="B63" s="29" t="s">
        <v>20</v>
      </c>
      <c r="C63" s="29" t="s">
        <v>15</v>
      </c>
      <c r="D63" s="29">
        <v>307.52999999999997</v>
      </c>
      <c r="E63" s="29">
        <v>0.32</v>
      </c>
      <c r="F63" s="29">
        <v>4</v>
      </c>
      <c r="G63" s="30">
        <v>45233</v>
      </c>
      <c r="H63" s="30">
        <v>45238</v>
      </c>
      <c r="I63" s="29" t="s">
        <v>16</v>
      </c>
      <c r="J63" s="29" t="s">
        <v>29</v>
      </c>
      <c r="K63" s="29">
        <v>54.58</v>
      </c>
      <c r="L63" s="28" t="s">
        <v>36</v>
      </c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</row>
    <row r="64" spans="1:24" ht="14.25" customHeight="1">
      <c r="A64" s="28" t="s">
        <v>124</v>
      </c>
      <c r="B64" s="29" t="s">
        <v>27</v>
      </c>
      <c r="C64" s="29" t="s">
        <v>21</v>
      </c>
      <c r="D64" s="29">
        <v>3275.6</v>
      </c>
      <c r="E64" s="29">
        <v>0.22</v>
      </c>
      <c r="F64" s="29">
        <v>3</v>
      </c>
      <c r="G64" s="30">
        <v>44999</v>
      </c>
      <c r="H64" s="30">
        <v>45000</v>
      </c>
      <c r="I64" s="29" t="s">
        <v>16</v>
      </c>
      <c r="J64" s="29" t="s">
        <v>29</v>
      </c>
      <c r="K64" s="29">
        <v>922.83</v>
      </c>
      <c r="L64" s="28" t="s">
        <v>118</v>
      </c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</row>
    <row r="65" spans="1:24" ht="14.25" customHeight="1">
      <c r="A65" s="28" t="s">
        <v>125</v>
      </c>
      <c r="B65" s="29" t="s">
        <v>35</v>
      </c>
      <c r="C65" s="29" t="s">
        <v>28</v>
      </c>
      <c r="D65" s="29">
        <v>676.75</v>
      </c>
      <c r="E65" s="29">
        <v>0.41</v>
      </c>
      <c r="F65" s="29">
        <v>3</v>
      </c>
      <c r="G65" s="30">
        <v>45299</v>
      </c>
      <c r="H65" s="30">
        <v>45301</v>
      </c>
      <c r="I65" s="29" t="s">
        <v>42</v>
      </c>
      <c r="J65" s="29" t="s">
        <v>23</v>
      </c>
      <c r="K65" s="29">
        <v>36.86</v>
      </c>
      <c r="L65" s="28" t="s">
        <v>118</v>
      </c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</row>
    <row r="66" spans="1:24" ht="14.25" customHeight="1">
      <c r="A66" s="28" t="s">
        <v>126</v>
      </c>
      <c r="B66" s="29" t="s">
        <v>14</v>
      </c>
      <c r="C66" s="29" t="s">
        <v>15</v>
      </c>
      <c r="D66" s="29">
        <v>4737.37</v>
      </c>
      <c r="E66" s="29">
        <v>0.17</v>
      </c>
      <c r="F66" s="29">
        <v>7</v>
      </c>
      <c r="G66" s="30">
        <v>45652</v>
      </c>
      <c r="H66" s="30">
        <v>45653</v>
      </c>
      <c r="I66" s="29" t="s">
        <v>16</v>
      </c>
      <c r="J66" s="29" t="s">
        <v>17</v>
      </c>
      <c r="K66" s="29">
        <v>499.78</v>
      </c>
      <c r="L66" s="28" t="s">
        <v>36</v>
      </c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</row>
    <row r="67" spans="1:24" ht="14.25" customHeight="1">
      <c r="A67" s="28" t="s">
        <v>127</v>
      </c>
      <c r="B67" s="29" t="s">
        <v>20</v>
      </c>
      <c r="C67" s="29" t="s">
        <v>47</v>
      </c>
      <c r="D67" s="29">
        <v>4335.26</v>
      </c>
      <c r="E67" s="29">
        <v>0.38</v>
      </c>
      <c r="F67" s="29">
        <v>5</v>
      </c>
      <c r="G67" s="30">
        <v>45360</v>
      </c>
      <c r="H67" s="30">
        <v>45362</v>
      </c>
      <c r="I67" s="29" t="s">
        <v>42</v>
      </c>
      <c r="J67" s="29" t="s">
        <v>17</v>
      </c>
      <c r="K67" s="29">
        <v>757.48</v>
      </c>
      <c r="L67" s="28" t="s">
        <v>56</v>
      </c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</row>
    <row r="68" spans="1:24" ht="14.25" customHeight="1">
      <c r="A68" s="28" t="s">
        <v>128</v>
      </c>
      <c r="B68" s="29" t="s">
        <v>27</v>
      </c>
      <c r="C68" s="29" t="s">
        <v>52</v>
      </c>
      <c r="D68" s="29">
        <v>209.41</v>
      </c>
      <c r="E68" s="29">
        <v>7.0000000000000007E-2</v>
      </c>
      <c r="F68" s="29">
        <v>5</v>
      </c>
      <c r="G68" s="30">
        <v>45646</v>
      </c>
      <c r="H68" s="30">
        <v>45651</v>
      </c>
      <c r="I68" s="29" t="s">
        <v>22</v>
      </c>
      <c r="J68" s="29" t="s">
        <v>29</v>
      </c>
      <c r="K68" s="29">
        <v>17.88</v>
      </c>
      <c r="L68" s="28" t="s">
        <v>37</v>
      </c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</row>
    <row r="69" spans="1:24" ht="14.25" customHeight="1">
      <c r="A69" s="28" t="s">
        <v>129</v>
      </c>
      <c r="B69" s="29" t="s">
        <v>35</v>
      </c>
      <c r="C69" s="29" t="s">
        <v>21</v>
      </c>
      <c r="D69" s="29">
        <v>3932.45</v>
      </c>
      <c r="E69" s="29">
        <v>0.47</v>
      </c>
      <c r="F69" s="29">
        <v>4</v>
      </c>
      <c r="G69" s="30">
        <v>44988</v>
      </c>
      <c r="H69" s="30">
        <v>44994</v>
      </c>
      <c r="I69" s="29" t="s">
        <v>42</v>
      </c>
      <c r="J69" s="29" t="s">
        <v>29</v>
      </c>
      <c r="K69" s="29">
        <v>408.02</v>
      </c>
      <c r="L69" s="28" t="s">
        <v>87</v>
      </c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</row>
    <row r="70" spans="1:24" ht="14.25" customHeight="1">
      <c r="A70" s="28" t="s">
        <v>130</v>
      </c>
      <c r="B70" s="29" t="s">
        <v>14</v>
      </c>
      <c r="C70" s="29" t="s">
        <v>15</v>
      </c>
      <c r="D70" s="29">
        <v>3215.9</v>
      </c>
      <c r="E70" s="29">
        <v>0.21</v>
      </c>
      <c r="F70" s="29">
        <v>8</v>
      </c>
      <c r="G70" s="30">
        <v>44970</v>
      </c>
      <c r="H70" s="30">
        <v>44973</v>
      </c>
      <c r="I70" s="29" t="s">
        <v>16</v>
      </c>
      <c r="J70" s="29" t="s">
        <v>29</v>
      </c>
      <c r="K70" s="29">
        <v>542.05999999999995</v>
      </c>
      <c r="L70" s="28" t="s">
        <v>118</v>
      </c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</row>
    <row r="71" spans="1:24" ht="14.25" customHeight="1">
      <c r="A71" s="28" t="s">
        <v>131</v>
      </c>
      <c r="B71" s="29" t="s">
        <v>20</v>
      </c>
      <c r="C71" s="29" t="s">
        <v>47</v>
      </c>
      <c r="D71" s="29">
        <v>2527.31</v>
      </c>
      <c r="E71" s="29">
        <v>0.12</v>
      </c>
      <c r="F71" s="29">
        <v>1</v>
      </c>
      <c r="G71" s="30">
        <v>45296</v>
      </c>
      <c r="H71" s="30">
        <v>45297</v>
      </c>
      <c r="I71" s="29" t="s">
        <v>22</v>
      </c>
      <c r="J71" s="29" t="s">
        <v>23</v>
      </c>
      <c r="K71" s="29">
        <v>611.45000000000005</v>
      </c>
      <c r="L71" s="28" t="s">
        <v>77</v>
      </c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</row>
    <row r="72" spans="1:24" ht="14.25" customHeight="1">
      <c r="A72" s="28" t="s">
        <v>132</v>
      </c>
      <c r="B72" s="29" t="s">
        <v>27</v>
      </c>
      <c r="C72" s="29" t="s">
        <v>15</v>
      </c>
      <c r="D72" s="29">
        <v>3052.91</v>
      </c>
      <c r="E72" s="29">
        <v>0.39</v>
      </c>
      <c r="F72" s="29">
        <v>9</v>
      </c>
      <c r="G72" s="30">
        <v>45449</v>
      </c>
      <c r="H72" s="30">
        <v>45453</v>
      </c>
      <c r="I72" s="29" t="s">
        <v>42</v>
      </c>
      <c r="J72" s="29" t="s">
        <v>23</v>
      </c>
      <c r="K72" s="29">
        <v>752</v>
      </c>
      <c r="L72" s="28" t="s">
        <v>37</v>
      </c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</row>
    <row r="73" spans="1:24" ht="14.25" customHeight="1">
      <c r="A73" s="28" t="s">
        <v>133</v>
      </c>
      <c r="B73" s="29" t="s">
        <v>35</v>
      </c>
      <c r="C73" s="29" t="s">
        <v>15</v>
      </c>
      <c r="D73" s="29">
        <v>3423.43</v>
      </c>
      <c r="E73" s="29">
        <v>0.47</v>
      </c>
      <c r="F73" s="29">
        <v>9</v>
      </c>
      <c r="G73" s="30">
        <v>45620</v>
      </c>
      <c r="H73" s="30">
        <v>45622</v>
      </c>
      <c r="I73" s="29" t="s">
        <v>42</v>
      </c>
      <c r="J73" s="29" t="s">
        <v>23</v>
      </c>
      <c r="K73" s="29">
        <v>698.02</v>
      </c>
      <c r="L73" s="28" t="s">
        <v>25</v>
      </c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</row>
    <row r="74" spans="1:24" ht="14.25" customHeight="1">
      <c r="A74" s="28" t="s">
        <v>134</v>
      </c>
      <c r="B74" s="29" t="s">
        <v>14</v>
      </c>
      <c r="C74" s="29" t="s">
        <v>28</v>
      </c>
      <c r="D74" s="29">
        <v>4433.84</v>
      </c>
      <c r="E74" s="29">
        <v>0.46</v>
      </c>
      <c r="F74" s="29">
        <v>5</v>
      </c>
      <c r="G74" s="30">
        <v>45621</v>
      </c>
      <c r="H74" s="30">
        <v>45626</v>
      </c>
      <c r="I74" s="29" t="s">
        <v>22</v>
      </c>
      <c r="J74" s="29" t="s">
        <v>29</v>
      </c>
      <c r="K74" s="29">
        <v>1229.3</v>
      </c>
      <c r="L74" s="28" t="s">
        <v>82</v>
      </c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</row>
    <row r="75" spans="1:24" ht="14.25" customHeight="1">
      <c r="A75" s="28" t="s">
        <v>135</v>
      </c>
      <c r="B75" s="29" t="s">
        <v>20</v>
      </c>
      <c r="C75" s="29" t="s">
        <v>28</v>
      </c>
      <c r="D75" s="29">
        <v>3860.05</v>
      </c>
      <c r="E75" s="29">
        <v>0.12</v>
      </c>
      <c r="F75" s="29">
        <v>1</v>
      </c>
      <c r="G75" s="30">
        <v>44987</v>
      </c>
      <c r="H75" s="30">
        <v>44994</v>
      </c>
      <c r="I75" s="29" t="s">
        <v>16</v>
      </c>
      <c r="J75" s="29" t="s">
        <v>17</v>
      </c>
      <c r="K75" s="29">
        <v>800.39</v>
      </c>
      <c r="L75" s="28" t="s">
        <v>36</v>
      </c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</row>
    <row r="76" spans="1:24" ht="14.25" customHeight="1">
      <c r="A76" s="28" t="s">
        <v>136</v>
      </c>
      <c r="B76" s="29" t="s">
        <v>27</v>
      </c>
      <c r="C76" s="29" t="s">
        <v>15</v>
      </c>
      <c r="D76" s="29">
        <v>2919.35</v>
      </c>
      <c r="E76" s="29">
        <v>0.34</v>
      </c>
      <c r="F76" s="29">
        <v>2</v>
      </c>
      <c r="G76" s="30">
        <v>45409</v>
      </c>
      <c r="H76" s="30">
        <v>45410</v>
      </c>
      <c r="I76" s="29" t="s">
        <v>16</v>
      </c>
      <c r="J76" s="29" t="s">
        <v>23</v>
      </c>
      <c r="K76" s="29">
        <v>163.35</v>
      </c>
      <c r="L76" s="28" t="s">
        <v>70</v>
      </c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</row>
    <row r="77" spans="1:24" ht="14.25" customHeight="1">
      <c r="A77" s="28" t="s">
        <v>137</v>
      </c>
      <c r="B77" s="29" t="s">
        <v>35</v>
      </c>
      <c r="C77" s="29" t="s">
        <v>47</v>
      </c>
      <c r="D77" s="29">
        <v>4140.62</v>
      </c>
      <c r="E77" s="29">
        <v>0.27</v>
      </c>
      <c r="F77" s="29">
        <v>2</v>
      </c>
      <c r="G77" s="30">
        <v>45106</v>
      </c>
      <c r="H77" s="30">
        <v>45113</v>
      </c>
      <c r="I77" s="29" t="s">
        <v>16</v>
      </c>
      <c r="J77" s="29" t="s">
        <v>17</v>
      </c>
      <c r="K77" s="29">
        <v>743.22</v>
      </c>
      <c r="L77" s="28" t="s">
        <v>70</v>
      </c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</row>
    <row r="78" spans="1:24" ht="14.25" customHeight="1">
      <c r="A78" s="28" t="s">
        <v>138</v>
      </c>
      <c r="B78" s="29" t="s">
        <v>14</v>
      </c>
      <c r="C78" s="29" t="s">
        <v>21</v>
      </c>
      <c r="D78" s="29">
        <v>4935.92</v>
      </c>
      <c r="E78" s="29">
        <v>0.36</v>
      </c>
      <c r="F78" s="29">
        <v>6</v>
      </c>
      <c r="G78" s="30">
        <v>45561</v>
      </c>
      <c r="H78" s="30">
        <v>45566</v>
      </c>
      <c r="I78" s="29" t="s">
        <v>22</v>
      </c>
      <c r="J78" s="29" t="s">
        <v>17</v>
      </c>
      <c r="K78" s="29">
        <v>1440.78</v>
      </c>
      <c r="L78" s="28" t="s">
        <v>74</v>
      </c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</row>
    <row r="79" spans="1:24" ht="14.25" customHeight="1">
      <c r="A79" s="28" t="s">
        <v>139</v>
      </c>
      <c r="B79" s="29" t="s">
        <v>20</v>
      </c>
      <c r="C79" s="29" t="s">
        <v>21</v>
      </c>
      <c r="D79" s="29">
        <v>1570.89</v>
      </c>
      <c r="E79" s="29">
        <v>0.24</v>
      </c>
      <c r="F79" s="29">
        <v>9</v>
      </c>
      <c r="G79" s="30">
        <v>44948</v>
      </c>
      <c r="H79" s="30">
        <v>44949</v>
      </c>
      <c r="I79" s="29" t="s">
        <v>42</v>
      </c>
      <c r="J79" s="29" t="s">
        <v>17</v>
      </c>
      <c r="K79" s="29">
        <v>336.22</v>
      </c>
      <c r="L79" s="28" t="s">
        <v>113</v>
      </c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</row>
    <row r="80" spans="1:24" ht="14.25" customHeight="1">
      <c r="A80" s="28" t="s">
        <v>140</v>
      </c>
      <c r="B80" s="29" t="s">
        <v>27</v>
      </c>
      <c r="C80" s="29" t="s">
        <v>52</v>
      </c>
      <c r="D80" s="29">
        <v>680.26</v>
      </c>
      <c r="E80" s="29">
        <v>0.23</v>
      </c>
      <c r="F80" s="29">
        <v>3</v>
      </c>
      <c r="G80" s="30">
        <v>45441</v>
      </c>
      <c r="H80" s="30">
        <v>45444</v>
      </c>
      <c r="I80" s="29" t="s">
        <v>22</v>
      </c>
      <c r="J80" s="29" t="s">
        <v>17</v>
      </c>
      <c r="K80" s="29">
        <v>151.09</v>
      </c>
      <c r="L80" s="28" t="s">
        <v>36</v>
      </c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</row>
    <row r="81" spans="1:24" ht="14.25" customHeight="1">
      <c r="A81" s="28" t="s">
        <v>141</v>
      </c>
      <c r="B81" s="29" t="s">
        <v>35</v>
      </c>
      <c r="C81" s="29" t="s">
        <v>52</v>
      </c>
      <c r="D81" s="29">
        <v>3684.1</v>
      </c>
      <c r="E81" s="29">
        <v>0.44</v>
      </c>
      <c r="F81" s="29">
        <v>8</v>
      </c>
      <c r="G81" s="30">
        <v>45642</v>
      </c>
      <c r="H81" s="30">
        <v>45649</v>
      </c>
      <c r="I81" s="29" t="s">
        <v>42</v>
      </c>
      <c r="J81" s="29" t="s">
        <v>17</v>
      </c>
      <c r="K81" s="29">
        <v>289.32</v>
      </c>
      <c r="L81" s="28" t="s">
        <v>56</v>
      </c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</row>
    <row r="82" spans="1:24" ht="14.25" customHeight="1">
      <c r="A82" s="28" t="s">
        <v>142</v>
      </c>
      <c r="B82" s="29" t="s">
        <v>14</v>
      </c>
      <c r="C82" s="29" t="s">
        <v>21</v>
      </c>
      <c r="D82" s="29">
        <v>4895.12</v>
      </c>
      <c r="E82" s="29">
        <v>0.44</v>
      </c>
      <c r="F82" s="29">
        <v>2</v>
      </c>
      <c r="G82" s="30">
        <v>45624</v>
      </c>
      <c r="H82" s="30">
        <v>45630</v>
      </c>
      <c r="I82" s="29" t="s">
        <v>22</v>
      </c>
      <c r="J82" s="29" t="s">
        <v>23</v>
      </c>
      <c r="K82" s="29">
        <v>684.94</v>
      </c>
      <c r="L82" s="28" t="s">
        <v>56</v>
      </c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</row>
    <row r="83" spans="1:24" ht="14.25" customHeight="1">
      <c r="A83" s="28" t="s">
        <v>143</v>
      </c>
      <c r="B83" s="29" t="s">
        <v>20</v>
      </c>
      <c r="C83" s="29" t="s">
        <v>15</v>
      </c>
      <c r="D83" s="29">
        <v>671.86</v>
      </c>
      <c r="E83" s="29">
        <v>0.39</v>
      </c>
      <c r="F83" s="29">
        <v>5</v>
      </c>
      <c r="G83" s="30">
        <v>45609</v>
      </c>
      <c r="H83" s="30">
        <v>45611</v>
      </c>
      <c r="I83" s="29" t="s">
        <v>42</v>
      </c>
      <c r="J83" s="29" t="s">
        <v>17</v>
      </c>
      <c r="K83" s="29">
        <v>175.75</v>
      </c>
      <c r="L83" s="28" t="s">
        <v>54</v>
      </c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</row>
    <row r="84" spans="1:24" ht="14.25" customHeight="1">
      <c r="A84" s="28" t="s">
        <v>144</v>
      </c>
      <c r="B84" s="29" t="s">
        <v>27</v>
      </c>
      <c r="C84" s="29" t="s">
        <v>15</v>
      </c>
      <c r="D84" s="29">
        <v>2215.37</v>
      </c>
      <c r="E84" s="29">
        <v>0.35</v>
      </c>
      <c r="F84" s="29">
        <v>4</v>
      </c>
      <c r="G84" s="30">
        <v>45499</v>
      </c>
      <c r="H84" s="30">
        <v>45506</v>
      </c>
      <c r="I84" s="29" t="s">
        <v>42</v>
      </c>
      <c r="J84" s="29" t="s">
        <v>29</v>
      </c>
      <c r="K84" s="29">
        <v>171.87</v>
      </c>
      <c r="L84" s="28" t="s">
        <v>113</v>
      </c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</row>
    <row r="85" spans="1:24" ht="14.25" customHeight="1">
      <c r="A85" s="28" t="s">
        <v>145</v>
      </c>
      <c r="B85" s="29" t="s">
        <v>35</v>
      </c>
      <c r="C85" s="29" t="s">
        <v>28</v>
      </c>
      <c r="D85" s="29">
        <v>405.11</v>
      </c>
      <c r="E85" s="29">
        <v>0.34</v>
      </c>
      <c r="F85" s="29">
        <v>5</v>
      </c>
      <c r="G85" s="30">
        <v>45275</v>
      </c>
      <c r="H85" s="30">
        <v>45276</v>
      </c>
      <c r="I85" s="29" t="s">
        <v>22</v>
      </c>
      <c r="J85" s="29" t="s">
        <v>23</v>
      </c>
      <c r="K85" s="29">
        <v>105.25</v>
      </c>
      <c r="L85" s="28" t="s">
        <v>77</v>
      </c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</row>
    <row r="86" spans="1:24" ht="14.25" customHeight="1">
      <c r="A86" s="28" t="s">
        <v>146</v>
      </c>
      <c r="B86" s="29" t="s">
        <v>14</v>
      </c>
      <c r="C86" s="29" t="s">
        <v>28</v>
      </c>
      <c r="D86" s="29">
        <v>3905.01</v>
      </c>
      <c r="E86" s="29">
        <v>0.03</v>
      </c>
      <c r="F86" s="29">
        <v>4</v>
      </c>
      <c r="G86" s="30">
        <v>45491</v>
      </c>
      <c r="H86" s="30">
        <v>45498</v>
      </c>
      <c r="I86" s="29" t="s">
        <v>22</v>
      </c>
      <c r="J86" s="29" t="s">
        <v>17</v>
      </c>
      <c r="K86" s="29">
        <v>754.77</v>
      </c>
      <c r="L86" s="28" t="s">
        <v>77</v>
      </c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</row>
    <row r="87" spans="1:24" ht="14.25" customHeight="1">
      <c r="A87" s="28" t="s">
        <v>147</v>
      </c>
      <c r="B87" s="29" t="s">
        <v>20</v>
      </c>
      <c r="C87" s="29" t="s">
        <v>52</v>
      </c>
      <c r="D87" s="29">
        <v>4748.67</v>
      </c>
      <c r="E87" s="29">
        <v>0.37</v>
      </c>
      <c r="F87" s="29">
        <v>1</v>
      </c>
      <c r="G87" s="30">
        <v>45599</v>
      </c>
      <c r="H87" s="30">
        <v>45603</v>
      </c>
      <c r="I87" s="29" t="s">
        <v>22</v>
      </c>
      <c r="J87" s="29" t="s">
        <v>17</v>
      </c>
      <c r="K87" s="29">
        <v>705.01</v>
      </c>
      <c r="L87" s="28" t="s">
        <v>56</v>
      </c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</row>
    <row r="88" spans="1:24" ht="14.25" customHeight="1">
      <c r="A88" s="28" t="s">
        <v>148</v>
      </c>
      <c r="B88" s="29" t="s">
        <v>27</v>
      </c>
      <c r="C88" s="29" t="s">
        <v>21</v>
      </c>
      <c r="D88" s="29">
        <v>2545.0700000000002</v>
      </c>
      <c r="E88" s="29">
        <v>0.32</v>
      </c>
      <c r="F88" s="29">
        <v>1</v>
      </c>
      <c r="G88" s="30">
        <v>45150</v>
      </c>
      <c r="H88" s="30">
        <v>45152</v>
      </c>
      <c r="I88" s="29" t="s">
        <v>42</v>
      </c>
      <c r="J88" s="29" t="s">
        <v>23</v>
      </c>
      <c r="K88" s="29">
        <v>719.11</v>
      </c>
      <c r="L88" s="28" t="s">
        <v>30</v>
      </c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</row>
    <row r="89" spans="1:24" ht="14.25" customHeight="1">
      <c r="A89" s="28" t="s">
        <v>149</v>
      </c>
      <c r="B89" s="29" t="s">
        <v>35</v>
      </c>
      <c r="C89" s="29" t="s">
        <v>15</v>
      </c>
      <c r="D89" s="29">
        <v>2106.65</v>
      </c>
      <c r="E89" s="29">
        <v>0.15</v>
      </c>
      <c r="F89" s="29">
        <v>6</v>
      </c>
      <c r="G89" s="30">
        <v>45463</v>
      </c>
      <c r="H89" s="30">
        <v>45465</v>
      </c>
      <c r="I89" s="29" t="s">
        <v>22</v>
      </c>
      <c r="J89" s="29" t="s">
        <v>17</v>
      </c>
      <c r="K89" s="29">
        <v>120.84</v>
      </c>
      <c r="L89" s="28" t="s">
        <v>74</v>
      </c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</row>
    <row r="90" spans="1:24" ht="14.25" customHeight="1">
      <c r="A90" s="28" t="s">
        <v>150</v>
      </c>
      <c r="B90" s="29" t="s">
        <v>14</v>
      </c>
      <c r="C90" s="29" t="s">
        <v>21</v>
      </c>
      <c r="D90" s="29">
        <v>4547.82</v>
      </c>
      <c r="E90" s="29">
        <v>0.41</v>
      </c>
      <c r="F90" s="29">
        <v>8</v>
      </c>
      <c r="G90" s="30">
        <v>45232</v>
      </c>
      <c r="H90" s="30">
        <v>45237</v>
      </c>
      <c r="I90" s="29" t="s">
        <v>42</v>
      </c>
      <c r="J90" s="29" t="s">
        <v>29</v>
      </c>
      <c r="K90" s="29">
        <v>1281.0999999999999</v>
      </c>
      <c r="L90" s="28" t="s">
        <v>37</v>
      </c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</row>
    <row r="91" spans="1:24" ht="14.25" customHeight="1">
      <c r="A91" s="28" t="s">
        <v>151</v>
      </c>
      <c r="B91" s="29" t="s">
        <v>20</v>
      </c>
      <c r="C91" s="29" t="s">
        <v>47</v>
      </c>
      <c r="D91" s="29">
        <v>753.6</v>
      </c>
      <c r="E91" s="29">
        <v>0.42</v>
      </c>
      <c r="F91" s="29">
        <v>7</v>
      </c>
      <c r="G91" s="30">
        <v>45229</v>
      </c>
      <c r="H91" s="30">
        <v>45231</v>
      </c>
      <c r="I91" s="29" t="s">
        <v>42</v>
      </c>
      <c r="J91" s="29" t="s">
        <v>17</v>
      </c>
      <c r="K91" s="29">
        <v>203.17</v>
      </c>
      <c r="L91" s="28" t="s">
        <v>25</v>
      </c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</row>
    <row r="92" spans="1:24" ht="14.25" customHeight="1">
      <c r="A92" s="28" t="s">
        <v>152</v>
      </c>
      <c r="B92" s="29" t="s">
        <v>27</v>
      </c>
      <c r="C92" s="29" t="s">
        <v>21</v>
      </c>
      <c r="D92" s="29">
        <v>4468.76</v>
      </c>
      <c r="E92" s="29">
        <v>0.47</v>
      </c>
      <c r="F92" s="29">
        <v>4</v>
      </c>
      <c r="G92" s="30">
        <v>45560</v>
      </c>
      <c r="H92" s="30">
        <v>45561</v>
      </c>
      <c r="I92" s="29" t="s">
        <v>22</v>
      </c>
      <c r="J92" s="29" t="s">
        <v>23</v>
      </c>
      <c r="K92" s="29">
        <v>1325.93</v>
      </c>
      <c r="L92" s="28" t="s">
        <v>74</v>
      </c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</row>
    <row r="93" spans="1:24" ht="14.25" customHeight="1">
      <c r="A93" s="28" t="s">
        <v>153</v>
      </c>
      <c r="B93" s="29" t="s">
        <v>35</v>
      </c>
      <c r="C93" s="29" t="s">
        <v>47</v>
      </c>
      <c r="D93" s="29">
        <v>2021.42</v>
      </c>
      <c r="E93" s="29">
        <v>0.21</v>
      </c>
      <c r="F93" s="29">
        <v>5</v>
      </c>
      <c r="G93" s="30">
        <v>45624</v>
      </c>
      <c r="H93" s="30">
        <v>45627</v>
      </c>
      <c r="I93" s="29" t="s">
        <v>16</v>
      </c>
      <c r="J93" s="29" t="s">
        <v>23</v>
      </c>
      <c r="K93" s="29">
        <v>311.67</v>
      </c>
      <c r="L93" s="28" t="s">
        <v>36</v>
      </c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</row>
    <row r="94" spans="1:24" ht="14.25" customHeight="1">
      <c r="A94" s="28" t="s">
        <v>154</v>
      </c>
      <c r="B94" s="29" t="s">
        <v>14</v>
      </c>
      <c r="C94" s="29" t="s">
        <v>28</v>
      </c>
      <c r="D94" s="29">
        <v>2841.09</v>
      </c>
      <c r="E94" s="29">
        <v>0.28000000000000003</v>
      </c>
      <c r="F94" s="29">
        <v>8</v>
      </c>
      <c r="G94" s="30">
        <v>45282</v>
      </c>
      <c r="H94" s="30">
        <v>45283</v>
      </c>
      <c r="I94" s="29" t="s">
        <v>16</v>
      </c>
      <c r="J94" s="29" t="s">
        <v>23</v>
      </c>
      <c r="K94" s="29">
        <v>469.27</v>
      </c>
      <c r="L94" s="28" t="s">
        <v>36</v>
      </c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</row>
    <row r="95" spans="1:24" ht="14.25" customHeight="1">
      <c r="A95" s="28" t="s">
        <v>155</v>
      </c>
      <c r="B95" s="29" t="s">
        <v>20</v>
      </c>
      <c r="C95" s="29" t="s">
        <v>28</v>
      </c>
      <c r="D95" s="29">
        <v>2688.63</v>
      </c>
      <c r="E95" s="29">
        <v>0.45</v>
      </c>
      <c r="F95" s="29">
        <v>6</v>
      </c>
      <c r="G95" s="30">
        <v>45504</v>
      </c>
      <c r="H95" s="30">
        <v>45510</v>
      </c>
      <c r="I95" s="29" t="s">
        <v>42</v>
      </c>
      <c r="J95" s="29" t="s">
        <v>29</v>
      </c>
      <c r="K95" s="29">
        <v>608.51</v>
      </c>
      <c r="L95" s="28" t="s">
        <v>118</v>
      </c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</row>
    <row r="96" spans="1:24" ht="14.25" customHeight="1">
      <c r="A96" s="28" t="s">
        <v>156</v>
      </c>
      <c r="B96" s="29" t="s">
        <v>27</v>
      </c>
      <c r="C96" s="29" t="s">
        <v>52</v>
      </c>
      <c r="D96" s="29">
        <v>3118.3</v>
      </c>
      <c r="E96" s="29">
        <v>0.16</v>
      </c>
      <c r="F96" s="29">
        <v>8</v>
      </c>
      <c r="G96" s="30">
        <v>45645</v>
      </c>
      <c r="H96" s="30">
        <v>45647</v>
      </c>
      <c r="I96" s="29" t="s">
        <v>42</v>
      </c>
      <c r="J96" s="29" t="s">
        <v>17</v>
      </c>
      <c r="K96" s="29">
        <v>241.86</v>
      </c>
      <c r="L96" s="28" t="s">
        <v>37</v>
      </c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</row>
    <row r="97" spans="1:24" ht="14.25" customHeight="1">
      <c r="A97" s="28" t="s">
        <v>157</v>
      </c>
      <c r="B97" s="29" t="s">
        <v>35</v>
      </c>
      <c r="C97" s="29" t="s">
        <v>21</v>
      </c>
      <c r="D97" s="29">
        <v>4716.3999999999996</v>
      </c>
      <c r="E97" s="29">
        <v>0.4</v>
      </c>
      <c r="F97" s="29">
        <v>6</v>
      </c>
      <c r="G97" s="30">
        <v>45195</v>
      </c>
      <c r="H97" s="30">
        <v>45199</v>
      </c>
      <c r="I97" s="29" t="s">
        <v>16</v>
      </c>
      <c r="J97" s="29" t="s">
        <v>23</v>
      </c>
      <c r="K97" s="29">
        <v>523.02</v>
      </c>
      <c r="L97" s="28" t="s">
        <v>113</v>
      </c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</row>
    <row r="98" spans="1:24" ht="14.25" customHeight="1">
      <c r="A98" s="28" t="s">
        <v>158</v>
      </c>
      <c r="B98" s="29" t="s">
        <v>14</v>
      </c>
      <c r="C98" s="29" t="s">
        <v>21</v>
      </c>
      <c r="D98" s="29">
        <v>4760.5200000000004</v>
      </c>
      <c r="E98" s="29">
        <v>0.5</v>
      </c>
      <c r="F98" s="29">
        <v>8</v>
      </c>
      <c r="G98" s="30">
        <v>44941</v>
      </c>
      <c r="H98" s="30">
        <v>44947</v>
      </c>
      <c r="I98" s="29" t="s">
        <v>42</v>
      </c>
      <c r="J98" s="29" t="s">
        <v>29</v>
      </c>
      <c r="K98" s="29">
        <v>764.06</v>
      </c>
      <c r="L98" s="28" t="s">
        <v>87</v>
      </c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</row>
    <row r="99" spans="1:24" ht="14.25" customHeight="1">
      <c r="A99" s="28" t="s">
        <v>159</v>
      </c>
      <c r="B99" s="29" t="s">
        <v>20</v>
      </c>
      <c r="C99" s="29" t="s">
        <v>47</v>
      </c>
      <c r="D99" s="29">
        <v>4172.63</v>
      </c>
      <c r="E99" s="29">
        <v>0.33</v>
      </c>
      <c r="F99" s="29">
        <v>4</v>
      </c>
      <c r="G99" s="30">
        <v>45444</v>
      </c>
      <c r="H99" s="30">
        <v>45448</v>
      </c>
      <c r="I99" s="29" t="s">
        <v>16</v>
      </c>
      <c r="J99" s="29" t="s">
        <v>29</v>
      </c>
      <c r="K99" s="29">
        <v>957.31</v>
      </c>
      <c r="L99" s="28" t="s">
        <v>77</v>
      </c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</row>
    <row r="100" spans="1:24" ht="14.25" customHeight="1">
      <c r="A100" s="28" t="s">
        <v>160</v>
      </c>
      <c r="B100" s="29" t="s">
        <v>27</v>
      </c>
      <c r="C100" s="29" t="s">
        <v>28</v>
      </c>
      <c r="D100" s="29">
        <v>1038.57</v>
      </c>
      <c r="E100" s="29">
        <v>0.49</v>
      </c>
      <c r="F100" s="29">
        <v>2</v>
      </c>
      <c r="G100" s="30">
        <v>45179</v>
      </c>
      <c r="H100" s="30">
        <v>45185</v>
      </c>
      <c r="I100" s="29" t="s">
        <v>42</v>
      </c>
      <c r="J100" s="29" t="s">
        <v>23</v>
      </c>
      <c r="K100" s="29">
        <v>180.83</v>
      </c>
      <c r="L100" s="28" t="s">
        <v>82</v>
      </c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</row>
    <row r="101" spans="1:24" ht="14.25" customHeight="1">
      <c r="A101" s="28" t="s">
        <v>161</v>
      </c>
      <c r="B101" s="29" t="s">
        <v>35</v>
      </c>
      <c r="C101" s="29" t="s">
        <v>47</v>
      </c>
      <c r="D101" s="29">
        <v>1734.23</v>
      </c>
      <c r="E101" s="29">
        <v>0.26</v>
      </c>
      <c r="F101" s="29">
        <v>3</v>
      </c>
      <c r="G101" s="30">
        <v>45011</v>
      </c>
      <c r="H101" s="30">
        <v>45012</v>
      </c>
      <c r="I101" s="29" t="s">
        <v>42</v>
      </c>
      <c r="J101" s="29" t="s">
        <v>23</v>
      </c>
      <c r="K101" s="29">
        <v>186.24</v>
      </c>
      <c r="L101" s="28" t="s">
        <v>63</v>
      </c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</row>
    <row r="102" spans="1:24" ht="14.25" customHeight="1">
      <c r="A102" s="28" t="s">
        <v>162</v>
      </c>
      <c r="B102" s="29" t="s">
        <v>14</v>
      </c>
      <c r="C102" s="29" t="s">
        <v>28</v>
      </c>
      <c r="D102" s="29">
        <v>2490.34</v>
      </c>
      <c r="E102" s="29">
        <v>0.08</v>
      </c>
      <c r="F102" s="29">
        <v>5</v>
      </c>
      <c r="G102" s="30">
        <v>45480</v>
      </c>
      <c r="H102" s="30">
        <v>45481</v>
      </c>
      <c r="I102" s="29" t="s">
        <v>22</v>
      </c>
      <c r="J102" s="29" t="s">
        <v>29</v>
      </c>
      <c r="K102" s="29">
        <v>306.17</v>
      </c>
      <c r="L102" s="28" t="s">
        <v>36</v>
      </c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</row>
    <row r="103" spans="1:24" ht="14.25" customHeight="1">
      <c r="A103" s="28" t="s">
        <v>163</v>
      </c>
      <c r="B103" s="29" t="s">
        <v>20</v>
      </c>
      <c r="C103" s="29" t="s">
        <v>47</v>
      </c>
      <c r="D103" s="29">
        <v>4536.76</v>
      </c>
      <c r="E103" s="29">
        <v>0.09</v>
      </c>
      <c r="F103" s="29">
        <v>4</v>
      </c>
      <c r="G103" s="30">
        <v>45656</v>
      </c>
      <c r="H103" s="30">
        <v>45657</v>
      </c>
      <c r="I103" s="29" t="s">
        <v>16</v>
      </c>
      <c r="J103" s="29" t="s">
        <v>23</v>
      </c>
      <c r="K103" s="29">
        <v>1077.1099999999999</v>
      </c>
      <c r="L103" s="28" t="s">
        <v>56</v>
      </c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</row>
    <row r="104" spans="1:24" ht="14.25" customHeight="1">
      <c r="A104" s="28" t="s">
        <v>164</v>
      </c>
      <c r="B104" s="29" t="s">
        <v>27</v>
      </c>
      <c r="C104" s="29" t="s">
        <v>28</v>
      </c>
      <c r="D104" s="29">
        <v>2652.24</v>
      </c>
      <c r="E104" s="29">
        <v>0.37</v>
      </c>
      <c r="F104" s="29">
        <v>5</v>
      </c>
      <c r="G104" s="30">
        <v>45089</v>
      </c>
      <c r="H104" s="30">
        <v>45090</v>
      </c>
      <c r="I104" s="29" t="s">
        <v>42</v>
      </c>
      <c r="J104" s="29" t="s">
        <v>23</v>
      </c>
      <c r="K104" s="29">
        <v>666.98</v>
      </c>
      <c r="L104" s="28" t="s">
        <v>24</v>
      </c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</row>
    <row r="105" spans="1:24" ht="14.25" customHeight="1">
      <c r="A105" s="28" t="s">
        <v>165</v>
      </c>
      <c r="B105" s="29" t="s">
        <v>35</v>
      </c>
      <c r="C105" s="29" t="s">
        <v>47</v>
      </c>
      <c r="D105" s="29">
        <v>4889.43</v>
      </c>
      <c r="E105" s="29">
        <v>0</v>
      </c>
      <c r="F105" s="29">
        <v>1</v>
      </c>
      <c r="G105" s="30">
        <v>45163</v>
      </c>
      <c r="H105" s="30">
        <v>45170</v>
      </c>
      <c r="I105" s="29" t="s">
        <v>16</v>
      </c>
      <c r="J105" s="29" t="s">
        <v>29</v>
      </c>
      <c r="K105" s="29">
        <v>777.62</v>
      </c>
      <c r="L105" s="28" t="s">
        <v>24</v>
      </c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</row>
    <row r="106" spans="1:24" ht="14.25" customHeight="1">
      <c r="A106" s="28" t="s">
        <v>166</v>
      </c>
      <c r="B106" s="29" t="s">
        <v>14</v>
      </c>
      <c r="C106" s="29" t="s">
        <v>28</v>
      </c>
      <c r="D106" s="29">
        <v>4920.82</v>
      </c>
      <c r="E106" s="29">
        <v>0.33</v>
      </c>
      <c r="F106" s="29">
        <v>1</v>
      </c>
      <c r="G106" s="30">
        <v>45008</v>
      </c>
      <c r="H106" s="30">
        <v>45013</v>
      </c>
      <c r="I106" s="29" t="s">
        <v>22</v>
      </c>
      <c r="J106" s="29" t="s">
        <v>17</v>
      </c>
      <c r="K106" s="29">
        <v>483.88</v>
      </c>
      <c r="L106" s="28" t="s">
        <v>113</v>
      </c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</row>
    <row r="107" spans="1:24" ht="14.25" customHeight="1">
      <c r="A107" s="28" t="s">
        <v>167</v>
      </c>
      <c r="B107" s="29" t="s">
        <v>20</v>
      </c>
      <c r="C107" s="29" t="s">
        <v>47</v>
      </c>
      <c r="D107" s="29">
        <v>3033.06</v>
      </c>
      <c r="E107" s="29">
        <v>0.08</v>
      </c>
      <c r="F107" s="29">
        <v>2</v>
      </c>
      <c r="G107" s="30">
        <v>45516</v>
      </c>
      <c r="H107" s="30">
        <v>45517</v>
      </c>
      <c r="I107" s="29" t="s">
        <v>16</v>
      </c>
      <c r="J107" s="29" t="s">
        <v>23</v>
      </c>
      <c r="K107" s="29">
        <v>587.57000000000005</v>
      </c>
      <c r="L107" s="28" t="s">
        <v>74</v>
      </c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</row>
    <row r="108" spans="1:24" ht="14.25" customHeight="1">
      <c r="A108" s="28" t="s">
        <v>168</v>
      </c>
      <c r="B108" s="29" t="s">
        <v>27</v>
      </c>
      <c r="C108" s="29" t="s">
        <v>21</v>
      </c>
      <c r="D108" s="29">
        <v>4399.7299999999996</v>
      </c>
      <c r="E108" s="29">
        <v>0.49</v>
      </c>
      <c r="F108" s="29">
        <v>2</v>
      </c>
      <c r="G108" s="30">
        <v>45328</v>
      </c>
      <c r="H108" s="30">
        <v>45333</v>
      </c>
      <c r="I108" s="29" t="s">
        <v>42</v>
      </c>
      <c r="J108" s="29" t="s">
        <v>29</v>
      </c>
      <c r="K108" s="29">
        <v>660.08</v>
      </c>
      <c r="L108" s="28" t="s">
        <v>77</v>
      </c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</row>
    <row r="109" spans="1:24" ht="14.25" customHeight="1">
      <c r="A109" s="28" t="s">
        <v>169</v>
      </c>
      <c r="B109" s="29" t="s">
        <v>35</v>
      </c>
      <c r="C109" s="29" t="s">
        <v>52</v>
      </c>
      <c r="D109" s="29">
        <v>4996.1899999999996</v>
      </c>
      <c r="E109" s="29">
        <v>0.08</v>
      </c>
      <c r="F109" s="29">
        <v>8</v>
      </c>
      <c r="G109" s="30">
        <v>45074</v>
      </c>
      <c r="H109" s="30">
        <v>45076</v>
      </c>
      <c r="I109" s="29" t="s">
        <v>16</v>
      </c>
      <c r="J109" s="29" t="s">
        <v>23</v>
      </c>
      <c r="K109" s="29">
        <v>1047.8699999999999</v>
      </c>
      <c r="L109" s="28" t="s">
        <v>25</v>
      </c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</row>
    <row r="110" spans="1:24" ht="14.25" customHeight="1">
      <c r="A110" s="28" t="s">
        <v>170</v>
      </c>
      <c r="B110" s="29" t="s">
        <v>14</v>
      </c>
      <c r="C110" s="29" t="s">
        <v>47</v>
      </c>
      <c r="D110" s="29">
        <v>4263.6099999999997</v>
      </c>
      <c r="E110" s="29">
        <v>0.28000000000000003</v>
      </c>
      <c r="F110" s="29">
        <v>4</v>
      </c>
      <c r="G110" s="30">
        <v>45363</v>
      </c>
      <c r="H110" s="30">
        <v>45364</v>
      </c>
      <c r="I110" s="29" t="s">
        <v>22</v>
      </c>
      <c r="J110" s="29" t="s">
        <v>23</v>
      </c>
      <c r="K110" s="29">
        <v>1092.43</v>
      </c>
      <c r="L110" s="28" t="s">
        <v>70</v>
      </c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</row>
    <row r="111" spans="1:24" ht="14.25" customHeight="1">
      <c r="A111" s="28" t="s">
        <v>171</v>
      </c>
      <c r="B111" s="29" t="s">
        <v>20</v>
      </c>
      <c r="C111" s="29" t="s">
        <v>52</v>
      </c>
      <c r="D111" s="29">
        <v>3318.86</v>
      </c>
      <c r="E111" s="29">
        <v>0.33</v>
      </c>
      <c r="F111" s="29">
        <v>6</v>
      </c>
      <c r="G111" s="30">
        <v>45547</v>
      </c>
      <c r="H111" s="30">
        <v>45554</v>
      </c>
      <c r="I111" s="29" t="s">
        <v>16</v>
      </c>
      <c r="J111" s="29" t="s">
        <v>17</v>
      </c>
      <c r="K111" s="29">
        <v>604.07000000000005</v>
      </c>
      <c r="L111" s="28" t="s">
        <v>54</v>
      </c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</row>
    <row r="112" spans="1:24" ht="14.25" customHeight="1">
      <c r="A112" s="28" t="s">
        <v>172</v>
      </c>
      <c r="B112" s="29" t="s">
        <v>27</v>
      </c>
      <c r="C112" s="29" t="s">
        <v>21</v>
      </c>
      <c r="D112" s="29">
        <v>4241.1499999999996</v>
      </c>
      <c r="E112" s="29">
        <v>0.41</v>
      </c>
      <c r="F112" s="29">
        <v>2</v>
      </c>
      <c r="G112" s="30">
        <v>45486</v>
      </c>
      <c r="H112" s="30">
        <v>45487</v>
      </c>
      <c r="I112" s="29" t="s">
        <v>16</v>
      </c>
      <c r="J112" s="29" t="s">
        <v>23</v>
      </c>
      <c r="K112" s="29">
        <v>1168.31</v>
      </c>
      <c r="L112" s="28" t="s">
        <v>82</v>
      </c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</row>
    <row r="113" spans="1:24" ht="14.25" customHeight="1">
      <c r="A113" s="28" t="s">
        <v>173</v>
      </c>
      <c r="B113" s="29" t="s">
        <v>35</v>
      </c>
      <c r="C113" s="29" t="s">
        <v>21</v>
      </c>
      <c r="D113" s="29">
        <v>505.01</v>
      </c>
      <c r="E113" s="29">
        <v>0.23</v>
      </c>
      <c r="F113" s="29">
        <v>1</v>
      </c>
      <c r="G113" s="30">
        <v>45081</v>
      </c>
      <c r="H113" s="30">
        <v>45088</v>
      </c>
      <c r="I113" s="29" t="s">
        <v>16</v>
      </c>
      <c r="J113" s="29" t="s">
        <v>23</v>
      </c>
      <c r="K113" s="29">
        <v>71.8</v>
      </c>
      <c r="L113" s="28" t="s">
        <v>87</v>
      </c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</row>
    <row r="114" spans="1:24" ht="14.25" customHeight="1">
      <c r="A114" s="28" t="s">
        <v>174</v>
      </c>
      <c r="B114" s="29" t="s">
        <v>14</v>
      </c>
      <c r="C114" s="29" t="s">
        <v>28</v>
      </c>
      <c r="D114" s="29">
        <v>3210.62</v>
      </c>
      <c r="E114" s="29">
        <v>0.47</v>
      </c>
      <c r="F114" s="29">
        <v>7</v>
      </c>
      <c r="G114" s="30">
        <v>45514</v>
      </c>
      <c r="H114" s="30">
        <v>45518</v>
      </c>
      <c r="I114" s="29" t="s">
        <v>16</v>
      </c>
      <c r="J114" s="29" t="s">
        <v>23</v>
      </c>
      <c r="K114" s="29">
        <v>546.45000000000005</v>
      </c>
      <c r="L114" s="28" t="s">
        <v>77</v>
      </c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</row>
    <row r="115" spans="1:24" ht="14.25" customHeight="1">
      <c r="A115" s="28" t="s">
        <v>175</v>
      </c>
      <c r="B115" s="29" t="s">
        <v>20</v>
      </c>
      <c r="C115" s="29" t="s">
        <v>52</v>
      </c>
      <c r="D115" s="29">
        <v>1160.96</v>
      </c>
      <c r="E115" s="29">
        <v>0.24</v>
      </c>
      <c r="F115" s="29">
        <v>4</v>
      </c>
      <c r="G115" s="30">
        <v>45055</v>
      </c>
      <c r="H115" s="30">
        <v>45057</v>
      </c>
      <c r="I115" s="29" t="s">
        <v>42</v>
      </c>
      <c r="J115" s="29" t="s">
        <v>29</v>
      </c>
      <c r="K115" s="29">
        <v>223.68</v>
      </c>
      <c r="L115" s="28" t="s">
        <v>77</v>
      </c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</row>
    <row r="116" spans="1:24" ht="14.25" customHeight="1">
      <c r="A116" s="28" t="s">
        <v>176</v>
      </c>
      <c r="B116" s="29" t="s">
        <v>27</v>
      </c>
      <c r="C116" s="29" t="s">
        <v>15</v>
      </c>
      <c r="D116" s="29">
        <v>668.71</v>
      </c>
      <c r="E116" s="29">
        <v>0.13</v>
      </c>
      <c r="F116" s="29">
        <v>4</v>
      </c>
      <c r="G116" s="30">
        <v>45045</v>
      </c>
      <c r="H116" s="30">
        <v>45047</v>
      </c>
      <c r="I116" s="29" t="s">
        <v>16</v>
      </c>
      <c r="J116" s="29" t="s">
        <v>23</v>
      </c>
      <c r="K116" s="29">
        <v>153.62</v>
      </c>
      <c r="L116" s="28" t="s">
        <v>84</v>
      </c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</row>
    <row r="117" spans="1:24" ht="14.25" customHeight="1">
      <c r="A117" s="28" t="s">
        <v>177</v>
      </c>
      <c r="B117" s="29" t="s">
        <v>35</v>
      </c>
      <c r="C117" s="29" t="s">
        <v>28</v>
      </c>
      <c r="D117" s="29">
        <v>4475.07</v>
      </c>
      <c r="E117" s="29">
        <v>0.3</v>
      </c>
      <c r="F117" s="29">
        <v>2</v>
      </c>
      <c r="G117" s="30">
        <v>45196</v>
      </c>
      <c r="H117" s="30">
        <v>45197</v>
      </c>
      <c r="I117" s="29" t="s">
        <v>22</v>
      </c>
      <c r="J117" s="29" t="s">
        <v>23</v>
      </c>
      <c r="K117" s="29">
        <v>815.29</v>
      </c>
      <c r="L117" s="28" t="s">
        <v>24</v>
      </c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</row>
    <row r="118" spans="1:24" ht="14.25" customHeight="1">
      <c r="A118" s="28" t="s">
        <v>178</v>
      </c>
      <c r="B118" s="29" t="s">
        <v>14</v>
      </c>
      <c r="C118" s="29" t="s">
        <v>52</v>
      </c>
      <c r="D118" s="29">
        <v>3234.26</v>
      </c>
      <c r="E118" s="29">
        <v>0.33</v>
      </c>
      <c r="F118" s="29">
        <v>9</v>
      </c>
      <c r="G118" s="30">
        <v>45342</v>
      </c>
      <c r="H118" s="30">
        <v>45349</v>
      </c>
      <c r="I118" s="29" t="s">
        <v>16</v>
      </c>
      <c r="J118" s="29" t="s">
        <v>29</v>
      </c>
      <c r="K118" s="29">
        <v>817.55</v>
      </c>
      <c r="L118" s="28" t="s">
        <v>113</v>
      </c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</row>
    <row r="119" spans="1:24" ht="14.25" customHeight="1">
      <c r="A119" s="28" t="s">
        <v>179</v>
      </c>
      <c r="B119" s="29" t="s">
        <v>20</v>
      </c>
      <c r="C119" s="29" t="s">
        <v>47</v>
      </c>
      <c r="D119" s="29">
        <v>1293.3800000000001</v>
      </c>
      <c r="E119" s="29">
        <v>0.25</v>
      </c>
      <c r="F119" s="29">
        <v>2</v>
      </c>
      <c r="G119" s="30">
        <v>44936</v>
      </c>
      <c r="H119" s="30">
        <v>44938</v>
      </c>
      <c r="I119" s="29" t="s">
        <v>22</v>
      </c>
      <c r="J119" s="29" t="s">
        <v>23</v>
      </c>
      <c r="K119" s="29">
        <v>289.92</v>
      </c>
      <c r="L119" s="28" t="s">
        <v>18</v>
      </c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</row>
    <row r="120" spans="1:24" ht="14.25" customHeight="1">
      <c r="A120" s="28" t="s">
        <v>180</v>
      </c>
      <c r="B120" s="29" t="s">
        <v>27</v>
      </c>
      <c r="C120" s="29" t="s">
        <v>47</v>
      </c>
      <c r="D120" s="29">
        <v>1995.23</v>
      </c>
      <c r="E120" s="29">
        <v>0.37</v>
      </c>
      <c r="F120" s="29">
        <v>5</v>
      </c>
      <c r="G120" s="30">
        <v>45336</v>
      </c>
      <c r="H120" s="30">
        <v>45339</v>
      </c>
      <c r="I120" s="29" t="s">
        <v>22</v>
      </c>
      <c r="J120" s="29" t="s">
        <v>23</v>
      </c>
      <c r="K120" s="29">
        <v>274.36</v>
      </c>
      <c r="L120" s="28" t="s">
        <v>87</v>
      </c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</row>
    <row r="121" spans="1:24" ht="14.25" customHeight="1">
      <c r="A121" s="28" t="s">
        <v>181</v>
      </c>
      <c r="B121" s="29" t="s">
        <v>35</v>
      </c>
      <c r="C121" s="29" t="s">
        <v>21</v>
      </c>
      <c r="D121" s="29">
        <v>4869.0600000000004</v>
      </c>
      <c r="E121" s="29">
        <v>0.21</v>
      </c>
      <c r="F121" s="29">
        <v>6</v>
      </c>
      <c r="G121" s="30">
        <v>45149</v>
      </c>
      <c r="H121" s="30">
        <v>45155</v>
      </c>
      <c r="I121" s="29" t="s">
        <v>22</v>
      </c>
      <c r="J121" s="29" t="s">
        <v>23</v>
      </c>
      <c r="K121" s="29">
        <v>1022.41</v>
      </c>
      <c r="L121" s="28" t="s">
        <v>25</v>
      </c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</row>
    <row r="122" spans="1:24" ht="14.25" customHeight="1">
      <c r="A122" s="28" t="s">
        <v>182</v>
      </c>
      <c r="B122" s="29" t="s">
        <v>14</v>
      </c>
      <c r="C122" s="29" t="s">
        <v>15</v>
      </c>
      <c r="D122" s="29">
        <v>4324.6899999999996</v>
      </c>
      <c r="E122" s="29">
        <v>0</v>
      </c>
      <c r="F122" s="29">
        <v>3</v>
      </c>
      <c r="G122" s="30">
        <v>45503</v>
      </c>
      <c r="H122" s="30">
        <v>45507</v>
      </c>
      <c r="I122" s="29" t="s">
        <v>22</v>
      </c>
      <c r="J122" s="29" t="s">
        <v>17</v>
      </c>
      <c r="K122" s="29">
        <v>558.65</v>
      </c>
      <c r="L122" s="28" t="s">
        <v>70</v>
      </c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</row>
    <row r="123" spans="1:24" ht="14.25" customHeight="1">
      <c r="A123" s="28" t="s">
        <v>183</v>
      </c>
      <c r="B123" s="29" t="s">
        <v>20</v>
      </c>
      <c r="C123" s="29" t="s">
        <v>47</v>
      </c>
      <c r="D123" s="29">
        <v>176.35</v>
      </c>
      <c r="E123" s="29">
        <v>0.13</v>
      </c>
      <c r="F123" s="29">
        <v>3</v>
      </c>
      <c r="G123" s="30">
        <v>45104</v>
      </c>
      <c r="H123" s="30">
        <v>45106</v>
      </c>
      <c r="I123" s="29" t="s">
        <v>42</v>
      </c>
      <c r="J123" s="29" t="s">
        <v>29</v>
      </c>
      <c r="K123" s="29">
        <v>40.409999999999997</v>
      </c>
      <c r="L123" s="28" t="s">
        <v>25</v>
      </c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</row>
    <row r="124" spans="1:24" ht="14.25" customHeight="1">
      <c r="A124" s="28" t="s">
        <v>184</v>
      </c>
      <c r="B124" s="29" t="s">
        <v>27</v>
      </c>
      <c r="C124" s="29" t="s">
        <v>52</v>
      </c>
      <c r="D124" s="29">
        <v>4901.0200000000004</v>
      </c>
      <c r="E124" s="29">
        <v>0.47</v>
      </c>
      <c r="F124" s="29">
        <v>6</v>
      </c>
      <c r="G124" s="30">
        <v>45103</v>
      </c>
      <c r="H124" s="30">
        <v>45106</v>
      </c>
      <c r="I124" s="29" t="s">
        <v>16</v>
      </c>
      <c r="J124" s="29" t="s">
        <v>29</v>
      </c>
      <c r="K124" s="29">
        <v>1045.7</v>
      </c>
      <c r="L124" s="28" t="s">
        <v>30</v>
      </c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</row>
    <row r="125" spans="1:24" ht="14.25" customHeight="1">
      <c r="A125" s="28" t="s">
        <v>185</v>
      </c>
      <c r="B125" s="29" t="s">
        <v>35</v>
      </c>
      <c r="C125" s="29" t="s">
        <v>52</v>
      </c>
      <c r="D125" s="29">
        <v>1905.79</v>
      </c>
      <c r="E125" s="29">
        <v>0.38</v>
      </c>
      <c r="F125" s="29">
        <v>5</v>
      </c>
      <c r="G125" s="30">
        <v>45470</v>
      </c>
      <c r="H125" s="30">
        <v>45477</v>
      </c>
      <c r="I125" s="29" t="s">
        <v>16</v>
      </c>
      <c r="J125" s="29" t="s">
        <v>29</v>
      </c>
      <c r="K125" s="29">
        <v>179.78</v>
      </c>
      <c r="L125" s="28" t="s">
        <v>37</v>
      </c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</row>
    <row r="126" spans="1:24" ht="14.25" customHeight="1">
      <c r="A126" s="28" t="s">
        <v>186</v>
      </c>
      <c r="B126" s="29" t="s">
        <v>14</v>
      </c>
      <c r="C126" s="29" t="s">
        <v>47</v>
      </c>
      <c r="D126" s="29">
        <v>3507.55</v>
      </c>
      <c r="E126" s="29">
        <v>0.09</v>
      </c>
      <c r="F126" s="29">
        <v>5</v>
      </c>
      <c r="G126" s="30">
        <v>45503</v>
      </c>
      <c r="H126" s="30">
        <v>45504</v>
      </c>
      <c r="I126" s="29" t="s">
        <v>42</v>
      </c>
      <c r="J126" s="29" t="s">
        <v>17</v>
      </c>
      <c r="K126" s="29">
        <v>789.67</v>
      </c>
      <c r="L126" s="28" t="s">
        <v>36</v>
      </c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</row>
    <row r="127" spans="1:24" ht="14.25" customHeight="1">
      <c r="A127" s="28" t="s">
        <v>187</v>
      </c>
      <c r="B127" s="29" t="s">
        <v>20</v>
      </c>
      <c r="C127" s="29" t="s">
        <v>52</v>
      </c>
      <c r="D127" s="29">
        <v>3592.12</v>
      </c>
      <c r="E127" s="29">
        <v>0.03</v>
      </c>
      <c r="F127" s="29">
        <v>5</v>
      </c>
      <c r="G127" s="30">
        <v>44952</v>
      </c>
      <c r="H127" s="30">
        <v>44956</v>
      </c>
      <c r="I127" s="29" t="s">
        <v>16</v>
      </c>
      <c r="J127" s="29" t="s">
        <v>29</v>
      </c>
      <c r="K127" s="29">
        <v>296.98</v>
      </c>
      <c r="L127" s="28" t="s">
        <v>87</v>
      </c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</row>
    <row r="128" spans="1:24" ht="14.25" customHeight="1">
      <c r="A128" s="28" t="s">
        <v>188</v>
      </c>
      <c r="B128" s="29" t="s">
        <v>27</v>
      </c>
      <c r="C128" s="29" t="s">
        <v>52</v>
      </c>
      <c r="D128" s="29">
        <v>4567.25</v>
      </c>
      <c r="E128" s="29">
        <v>0.18</v>
      </c>
      <c r="F128" s="29">
        <v>9</v>
      </c>
      <c r="G128" s="30">
        <v>45123</v>
      </c>
      <c r="H128" s="30">
        <v>45129</v>
      </c>
      <c r="I128" s="29" t="s">
        <v>42</v>
      </c>
      <c r="J128" s="29" t="s">
        <v>29</v>
      </c>
      <c r="K128" s="29">
        <v>333.34</v>
      </c>
      <c r="L128" s="28" t="s">
        <v>24</v>
      </c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</row>
    <row r="129" spans="1:24" ht="14.25" customHeight="1">
      <c r="A129" s="28" t="s">
        <v>189</v>
      </c>
      <c r="B129" s="29" t="s">
        <v>35</v>
      </c>
      <c r="C129" s="29" t="s">
        <v>21</v>
      </c>
      <c r="D129" s="29">
        <v>4436.8</v>
      </c>
      <c r="E129" s="29">
        <v>0.42</v>
      </c>
      <c r="F129" s="29">
        <v>8</v>
      </c>
      <c r="G129" s="30">
        <v>45336</v>
      </c>
      <c r="H129" s="30">
        <v>45340</v>
      </c>
      <c r="I129" s="29" t="s">
        <v>22</v>
      </c>
      <c r="J129" s="29" t="s">
        <v>29</v>
      </c>
      <c r="K129" s="29">
        <v>934.84</v>
      </c>
      <c r="L129" s="28" t="s">
        <v>30</v>
      </c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</row>
    <row r="130" spans="1:24" ht="14.25" customHeight="1">
      <c r="A130" s="28" t="s">
        <v>190</v>
      </c>
      <c r="B130" s="29" t="s">
        <v>14</v>
      </c>
      <c r="C130" s="29" t="s">
        <v>15</v>
      </c>
      <c r="D130" s="29">
        <v>1480.47</v>
      </c>
      <c r="E130" s="29">
        <v>0.05</v>
      </c>
      <c r="F130" s="29">
        <v>4</v>
      </c>
      <c r="G130" s="30">
        <v>44991</v>
      </c>
      <c r="H130" s="30">
        <v>44995</v>
      </c>
      <c r="I130" s="29" t="s">
        <v>16</v>
      </c>
      <c r="J130" s="29" t="s">
        <v>23</v>
      </c>
      <c r="K130" s="29">
        <v>197.42</v>
      </c>
      <c r="L130" s="28" t="s">
        <v>54</v>
      </c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</row>
    <row r="131" spans="1:24" ht="14.25" customHeight="1">
      <c r="A131" s="28" t="s">
        <v>191</v>
      </c>
      <c r="B131" s="29" t="s">
        <v>20</v>
      </c>
      <c r="C131" s="29" t="s">
        <v>21</v>
      </c>
      <c r="D131" s="29">
        <v>3253.32</v>
      </c>
      <c r="E131" s="29">
        <v>0.27</v>
      </c>
      <c r="F131" s="29">
        <v>6</v>
      </c>
      <c r="G131" s="30">
        <v>45404</v>
      </c>
      <c r="H131" s="30">
        <v>45407</v>
      </c>
      <c r="I131" s="29" t="s">
        <v>22</v>
      </c>
      <c r="J131" s="29" t="s">
        <v>17</v>
      </c>
      <c r="K131" s="29">
        <v>293.39999999999998</v>
      </c>
      <c r="L131" s="28" t="s">
        <v>18</v>
      </c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</row>
    <row r="132" spans="1:24" ht="14.25" customHeight="1">
      <c r="A132" s="28" t="s">
        <v>192</v>
      </c>
      <c r="B132" s="29" t="s">
        <v>27</v>
      </c>
      <c r="C132" s="29" t="s">
        <v>15</v>
      </c>
      <c r="D132" s="29">
        <v>2029.16</v>
      </c>
      <c r="E132" s="29">
        <v>0.14000000000000001</v>
      </c>
      <c r="F132" s="29">
        <v>5</v>
      </c>
      <c r="G132" s="30">
        <v>45322</v>
      </c>
      <c r="H132" s="30">
        <v>45327</v>
      </c>
      <c r="I132" s="29" t="s">
        <v>16</v>
      </c>
      <c r="J132" s="29" t="s">
        <v>23</v>
      </c>
      <c r="K132" s="29">
        <v>602.37</v>
      </c>
      <c r="L132" s="28" t="s">
        <v>37</v>
      </c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</row>
    <row r="133" spans="1:24" ht="14.25" customHeight="1">
      <c r="A133" s="28" t="s">
        <v>193</v>
      </c>
      <c r="B133" s="29" t="s">
        <v>35</v>
      </c>
      <c r="C133" s="29" t="s">
        <v>52</v>
      </c>
      <c r="D133" s="29">
        <v>2675.16</v>
      </c>
      <c r="E133" s="29">
        <v>0.36</v>
      </c>
      <c r="F133" s="29">
        <v>6</v>
      </c>
      <c r="G133" s="30">
        <v>45410</v>
      </c>
      <c r="H133" s="30">
        <v>45414</v>
      </c>
      <c r="I133" s="29" t="s">
        <v>16</v>
      </c>
      <c r="J133" s="29" t="s">
        <v>29</v>
      </c>
      <c r="K133" s="29">
        <v>715.56</v>
      </c>
      <c r="L133" s="28" t="s">
        <v>87</v>
      </c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</row>
    <row r="134" spans="1:24" ht="14.25" customHeight="1">
      <c r="A134" s="28" t="s">
        <v>194</v>
      </c>
      <c r="B134" s="29" t="s">
        <v>14</v>
      </c>
      <c r="C134" s="29" t="s">
        <v>15</v>
      </c>
      <c r="D134" s="29">
        <v>2817.92</v>
      </c>
      <c r="E134" s="29">
        <v>0</v>
      </c>
      <c r="F134" s="29">
        <v>8</v>
      </c>
      <c r="G134" s="30">
        <v>45590</v>
      </c>
      <c r="H134" s="30">
        <v>45593</v>
      </c>
      <c r="I134" s="29" t="s">
        <v>16</v>
      </c>
      <c r="J134" s="29" t="s">
        <v>23</v>
      </c>
      <c r="K134" s="29">
        <v>265.5</v>
      </c>
      <c r="L134" s="28" t="s">
        <v>70</v>
      </c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</row>
    <row r="135" spans="1:24" ht="14.25" customHeight="1">
      <c r="A135" s="28" t="s">
        <v>195</v>
      </c>
      <c r="B135" s="29" t="s">
        <v>20</v>
      </c>
      <c r="C135" s="29" t="s">
        <v>52</v>
      </c>
      <c r="D135" s="29">
        <v>2042.08</v>
      </c>
      <c r="E135" s="29">
        <v>0.14000000000000001</v>
      </c>
      <c r="F135" s="29">
        <v>6</v>
      </c>
      <c r="G135" s="30">
        <v>45109</v>
      </c>
      <c r="H135" s="30">
        <v>45115</v>
      </c>
      <c r="I135" s="29" t="s">
        <v>22</v>
      </c>
      <c r="J135" s="29" t="s">
        <v>29</v>
      </c>
      <c r="K135" s="29">
        <v>583.83000000000004</v>
      </c>
      <c r="L135" s="28" t="s">
        <v>113</v>
      </c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</row>
    <row r="136" spans="1:24" ht="14.25" customHeight="1">
      <c r="A136" s="28" t="s">
        <v>196</v>
      </c>
      <c r="B136" s="29" t="s">
        <v>27</v>
      </c>
      <c r="C136" s="29" t="s">
        <v>52</v>
      </c>
      <c r="D136" s="29">
        <v>2373.08</v>
      </c>
      <c r="E136" s="29">
        <v>0.34</v>
      </c>
      <c r="F136" s="29">
        <v>6</v>
      </c>
      <c r="G136" s="30">
        <v>45527</v>
      </c>
      <c r="H136" s="30">
        <v>45534</v>
      </c>
      <c r="I136" s="29" t="s">
        <v>42</v>
      </c>
      <c r="J136" s="29" t="s">
        <v>23</v>
      </c>
      <c r="K136" s="29">
        <v>478.2</v>
      </c>
      <c r="L136" s="28" t="s">
        <v>59</v>
      </c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</row>
    <row r="137" spans="1:24" ht="14.25" customHeight="1">
      <c r="A137" s="28" t="s">
        <v>197</v>
      </c>
      <c r="B137" s="29" t="s">
        <v>35</v>
      </c>
      <c r="C137" s="29" t="s">
        <v>21</v>
      </c>
      <c r="D137" s="29">
        <v>1120.8800000000001</v>
      </c>
      <c r="E137" s="29">
        <v>0.27</v>
      </c>
      <c r="F137" s="29">
        <v>2</v>
      </c>
      <c r="G137" s="30">
        <v>45190</v>
      </c>
      <c r="H137" s="30">
        <v>45195</v>
      </c>
      <c r="I137" s="29" t="s">
        <v>22</v>
      </c>
      <c r="J137" s="29" t="s">
        <v>23</v>
      </c>
      <c r="K137" s="29">
        <v>201.73</v>
      </c>
      <c r="L137" s="28" t="s">
        <v>59</v>
      </c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</row>
    <row r="138" spans="1:24" ht="14.25" customHeight="1">
      <c r="A138" s="28" t="s">
        <v>198</v>
      </c>
      <c r="B138" s="29" t="s">
        <v>14</v>
      </c>
      <c r="C138" s="29" t="s">
        <v>21</v>
      </c>
      <c r="D138" s="29">
        <v>3077.47</v>
      </c>
      <c r="E138" s="29">
        <v>0.39</v>
      </c>
      <c r="F138" s="29">
        <v>7</v>
      </c>
      <c r="G138" s="30">
        <v>45627</v>
      </c>
      <c r="H138" s="30">
        <v>45634</v>
      </c>
      <c r="I138" s="29" t="s">
        <v>42</v>
      </c>
      <c r="J138" s="29" t="s">
        <v>17</v>
      </c>
      <c r="K138" s="29">
        <v>428.41</v>
      </c>
      <c r="L138" s="28" t="s">
        <v>54</v>
      </c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</row>
    <row r="139" spans="1:24" ht="14.25" customHeight="1">
      <c r="A139" s="28" t="s">
        <v>199</v>
      </c>
      <c r="B139" s="29" t="s">
        <v>20</v>
      </c>
      <c r="C139" s="29" t="s">
        <v>28</v>
      </c>
      <c r="D139" s="29">
        <v>3818.9</v>
      </c>
      <c r="E139" s="29">
        <v>0.08</v>
      </c>
      <c r="F139" s="29">
        <v>3</v>
      </c>
      <c r="G139" s="30">
        <v>44953</v>
      </c>
      <c r="H139" s="30">
        <v>44956</v>
      </c>
      <c r="I139" s="29" t="s">
        <v>16</v>
      </c>
      <c r="J139" s="29" t="s">
        <v>29</v>
      </c>
      <c r="K139" s="29">
        <v>497.78</v>
      </c>
      <c r="L139" s="28" t="s">
        <v>54</v>
      </c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</row>
    <row r="140" spans="1:24" ht="14.25" customHeight="1">
      <c r="A140" s="28" t="s">
        <v>200</v>
      </c>
      <c r="B140" s="29" t="s">
        <v>27</v>
      </c>
      <c r="C140" s="29" t="s">
        <v>47</v>
      </c>
      <c r="D140" s="29">
        <v>2205.73</v>
      </c>
      <c r="E140" s="29">
        <v>0.27</v>
      </c>
      <c r="F140" s="29">
        <v>7</v>
      </c>
      <c r="G140" s="30">
        <v>45177</v>
      </c>
      <c r="H140" s="30">
        <v>45180</v>
      </c>
      <c r="I140" s="29" t="s">
        <v>16</v>
      </c>
      <c r="J140" s="29" t="s">
        <v>17</v>
      </c>
      <c r="K140" s="29">
        <v>167.08</v>
      </c>
      <c r="L140" s="28" t="s">
        <v>54</v>
      </c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</row>
    <row r="141" spans="1:24" ht="14.25" customHeight="1">
      <c r="A141" s="28" t="s">
        <v>201</v>
      </c>
      <c r="B141" s="29" t="s">
        <v>35</v>
      </c>
      <c r="C141" s="29" t="s">
        <v>28</v>
      </c>
      <c r="D141" s="29">
        <v>4890.63</v>
      </c>
      <c r="E141" s="29">
        <v>0.1</v>
      </c>
      <c r="F141" s="29">
        <v>5</v>
      </c>
      <c r="G141" s="30">
        <v>45434</v>
      </c>
      <c r="H141" s="30">
        <v>45437</v>
      </c>
      <c r="I141" s="29" t="s">
        <v>16</v>
      </c>
      <c r="J141" s="29" t="s">
        <v>29</v>
      </c>
      <c r="K141" s="29">
        <v>466.35</v>
      </c>
      <c r="L141" s="28" t="s">
        <v>70</v>
      </c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</row>
    <row r="142" spans="1:24" ht="14.25" customHeight="1">
      <c r="A142" s="28" t="s">
        <v>202</v>
      </c>
      <c r="B142" s="29" t="s">
        <v>14</v>
      </c>
      <c r="C142" s="29" t="s">
        <v>28</v>
      </c>
      <c r="D142" s="29">
        <v>380.41</v>
      </c>
      <c r="E142" s="29">
        <v>0.32</v>
      </c>
      <c r="F142" s="29">
        <v>4</v>
      </c>
      <c r="G142" s="30">
        <v>45629</v>
      </c>
      <c r="H142" s="30">
        <v>45633</v>
      </c>
      <c r="I142" s="29" t="s">
        <v>16</v>
      </c>
      <c r="J142" s="29" t="s">
        <v>29</v>
      </c>
      <c r="K142" s="29">
        <v>44.61</v>
      </c>
      <c r="L142" s="28" t="s">
        <v>84</v>
      </c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</row>
    <row r="143" spans="1:24" ht="14.25" customHeight="1">
      <c r="A143" s="28" t="s">
        <v>203</v>
      </c>
      <c r="B143" s="29" t="s">
        <v>20</v>
      </c>
      <c r="C143" s="29" t="s">
        <v>15</v>
      </c>
      <c r="D143" s="29">
        <v>2986.89</v>
      </c>
      <c r="E143" s="29">
        <v>7.0000000000000007E-2</v>
      </c>
      <c r="F143" s="29">
        <v>1</v>
      </c>
      <c r="G143" s="30">
        <v>45054</v>
      </c>
      <c r="H143" s="30">
        <v>45055</v>
      </c>
      <c r="I143" s="29" t="s">
        <v>22</v>
      </c>
      <c r="J143" s="29" t="s">
        <v>29</v>
      </c>
      <c r="K143" s="29">
        <v>699.11</v>
      </c>
      <c r="L143" s="28" t="s">
        <v>87</v>
      </c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</row>
    <row r="144" spans="1:24" ht="14.25" customHeight="1">
      <c r="A144" s="28" t="s">
        <v>204</v>
      </c>
      <c r="B144" s="29" t="s">
        <v>27</v>
      </c>
      <c r="C144" s="29" t="s">
        <v>52</v>
      </c>
      <c r="D144" s="29">
        <v>2959.64</v>
      </c>
      <c r="E144" s="29">
        <v>7.0000000000000007E-2</v>
      </c>
      <c r="F144" s="29">
        <v>8</v>
      </c>
      <c r="G144" s="30">
        <v>45342</v>
      </c>
      <c r="H144" s="30">
        <v>45348</v>
      </c>
      <c r="I144" s="29" t="s">
        <v>42</v>
      </c>
      <c r="J144" s="29" t="s">
        <v>23</v>
      </c>
      <c r="K144" s="29">
        <v>858.27</v>
      </c>
      <c r="L144" s="28" t="s">
        <v>118</v>
      </c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</row>
    <row r="145" spans="1:24" ht="14.25" customHeight="1">
      <c r="A145" s="28" t="s">
        <v>205</v>
      </c>
      <c r="B145" s="29" t="s">
        <v>35</v>
      </c>
      <c r="C145" s="29" t="s">
        <v>52</v>
      </c>
      <c r="D145" s="29">
        <v>277.85000000000002</v>
      </c>
      <c r="E145" s="29">
        <v>0.16</v>
      </c>
      <c r="F145" s="29">
        <v>2</v>
      </c>
      <c r="G145" s="30">
        <v>45345</v>
      </c>
      <c r="H145" s="30">
        <v>45349</v>
      </c>
      <c r="I145" s="29" t="s">
        <v>42</v>
      </c>
      <c r="J145" s="29" t="s">
        <v>17</v>
      </c>
      <c r="K145" s="29">
        <v>46.23</v>
      </c>
      <c r="L145" s="28" t="s">
        <v>30</v>
      </c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</row>
    <row r="146" spans="1:24" ht="14.25" customHeight="1">
      <c r="A146" s="28" t="s">
        <v>206</v>
      </c>
      <c r="B146" s="29" t="s">
        <v>14</v>
      </c>
      <c r="C146" s="29" t="s">
        <v>52</v>
      </c>
      <c r="D146" s="29">
        <v>1200.3900000000001</v>
      </c>
      <c r="E146" s="29">
        <v>0.2</v>
      </c>
      <c r="F146" s="29">
        <v>8</v>
      </c>
      <c r="G146" s="30">
        <v>45582</v>
      </c>
      <c r="H146" s="30">
        <v>45588</v>
      </c>
      <c r="I146" s="29" t="s">
        <v>42</v>
      </c>
      <c r="J146" s="29" t="s">
        <v>29</v>
      </c>
      <c r="K146" s="29">
        <v>171.37</v>
      </c>
      <c r="L146" s="28" t="s">
        <v>54</v>
      </c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</row>
    <row r="147" spans="1:24" ht="14.25" customHeight="1">
      <c r="A147" s="28" t="s">
        <v>207</v>
      </c>
      <c r="B147" s="29" t="s">
        <v>20</v>
      </c>
      <c r="C147" s="29" t="s">
        <v>47</v>
      </c>
      <c r="D147" s="29">
        <v>4537.16</v>
      </c>
      <c r="E147" s="29">
        <v>0.25</v>
      </c>
      <c r="F147" s="29">
        <v>7</v>
      </c>
      <c r="G147" s="30">
        <v>45346</v>
      </c>
      <c r="H147" s="30">
        <v>45352</v>
      </c>
      <c r="I147" s="29" t="s">
        <v>16</v>
      </c>
      <c r="J147" s="29" t="s">
        <v>29</v>
      </c>
      <c r="K147" s="29">
        <v>1201.33</v>
      </c>
      <c r="L147" s="28" t="s">
        <v>30</v>
      </c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</row>
    <row r="148" spans="1:24" ht="14.25" customHeight="1">
      <c r="A148" s="28" t="s">
        <v>208</v>
      </c>
      <c r="B148" s="29" t="s">
        <v>27</v>
      </c>
      <c r="C148" s="29" t="s">
        <v>15</v>
      </c>
      <c r="D148" s="29">
        <v>2768.12</v>
      </c>
      <c r="E148" s="29">
        <v>0.28999999999999998</v>
      </c>
      <c r="F148" s="29">
        <v>3</v>
      </c>
      <c r="G148" s="30">
        <v>45596</v>
      </c>
      <c r="H148" s="30">
        <v>45600</v>
      </c>
      <c r="I148" s="29" t="s">
        <v>22</v>
      </c>
      <c r="J148" s="29" t="s">
        <v>23</v>
      </c>
      <c r="K148" s="29">
        <v>609.51</v>
      </c>
      <c r="L148" s="28" t="s">
        <v>63</v>
      </c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</row>
    <row r="149" spans="1:24" ht="14.25" customHeight="1">
      <c r="A149" s="28" t="s">
        <v>209</v>
      </c>
      <c r="B149" s="29" t="s">
        <v>35</v>
      </c>
      <c r="C149" s="29" t="s">
        <v>15</v>
      </c>
      <c r="D149" s="29">
        <v>2238.29</v>
      </c>
      <c r="E149" s="29">
        <v>0.23</v>
      </c>
      <c r="F149" s="29">
        <v>7</v>
      </c>
      <c r="G149" s="30">
        <v>45155</v>
      </c>
      <c r="H149" s="30">
        <v>45159</v>
      </c>
      <c r="I149" s="29" t="s">
        <v>16</v>
      </c>
      <c r="J149" s="29" t="s">
        <v>29</v>
      </c>
      <c r="K149" s="29">
        <v>248.9</v>
      </c>
      <c r="L149" s="28" t="s">
        <v>18</v>
      </c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</row>
    <row r="150" spans="1:24" ht="14.25" customHeight="1">
      <c r="A150" s="28" t="s">
        <v>210</v>
      </c>
      <c r="B150" s="29" t="s">
        <v>14</v>
      </c>
      <c r="C150" s="29" t="s">
        <v>52</v>
      </c>
      <c r="D150" s="29">
        <v>2135.9299999999998</v>
      </c>
      <c r="E150" s="29">
        <v>0.02</v>
      </c>
      <c r="F150" s="29">
        <v>1</v>
      </c>
      <c r="G150" s="30">
        <v>45470</v>
      </c>
      <c r="H150" s="30">
        <v>45474</v>
      </c>
      <c r="I150" s="29" t="s">
        <v>42</v>
      </c>
      <c r="J150" s="29" t="s">
        <v>29</v>
      </c>
      <c r="K150" s="29">
        <v>394.17</v>
      </c>
      <c r="L150" s="28" t="s">
        <v>59</v>
      </c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</row>
    <row r="151" spans="1:24" ht="14.25" customHeight="1">
      <c r="A151" s="28" t="s">
        <v>211</v>
      </c>
      <c r="B151" s="29" t="s">
        <v>20</v>
      </c>
      <c r="C151" s="29" t="s">
        <v>28</v>
      </c>
      <c r="D151" s="29">
        <v>4451.99</v>
      </c>
      <c r="E151" s="29">
        <v>0.17</v>
      </c>
      <c r="F151" s="29">
        <v>5</v>
      </c>
      <c r="G151" s="30">
        <v>45005</v>
      </c>
      <c r="H151" s="30">
        <v>45010</v>
      </c>
      <c r="I151" s="29" t="s">
        <v>22</v>
      </c>
      <c r="J151" s="29" t="s">
        <v>23</v>
      </c>
      <c r="K151" s="29">
        <v>1205.9000000000001</v>
      </c>
      <c r="L151" s="28" t="s">
        <v>30</v>
      </c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</row>
    <row r="152" spans="1:24" ht="14.25" customHeight="1">
      <c r="A152" s="28" t="s">
        <v>212</v>
      </c>
      <c r="B152" s="29" t="s">
        <v>27</v>
      </c>
      <c r="C152" s="29" t="s">
        <v>47</v>
      </c>
      <c r="D152" s="29">
        <v>1898.45</v>
      </c>
      <c r="E152" s="29">
        <v>0.03</v>
      </c>
      <c r="F152" s="29">
        <v>2</v>
      </c>
      <c r="G152" s="30">
        <v>44982</v>
      </c>
      <c r="H152" s="30">
        <v>44987</v>
      </c>
      <c r="I152" s="29" t="s">
        <v>22</v>
      </c>
      <c r="J152" s="29" t="s">
        <v>23</v>
      </c>
      <c r="K152" s="29">
        <v>408.16</v>
      </c>
      <c r="L152" s="28" t="s">
        <v>113</v>
      </c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</row>
    <row r="153" spans="1:24" ht="14.25" customHeight="1">
      <c r="A153" s="28" t="s">
        <v>213</v>
      </c>
      <c r="B153" s="29" t="s">
        <v>35</v>
      </c>
      <c r="C153" s="29" t="s">
        <v>28</v>
      </c>
      <c r="D153" s="29">
        <v>4309.92</v>
      </c>
      <c r="E153" s="29">
        <v>0.06</v>
      </c>
      <c r="F153" s="29">
        <v>2</v>
      </c>
      <c r="G153" s="30">
        <v>44980</v>
      </c>
      <c r="H153" s="30">
        <v>44983</v>
      </c>
      <c r="I153" s="29" t="s">
        <v>16</v>
      </c>
      <c r="J153" s="29" t="s">
        <v>23</v>
      </c>
      <c r="K153" s="29">
        <v>617.32000000000005</v>
      </c>
      <c r="L153" s="28" t="s">
        <v>87</v>
      </c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</row>
    <row r="154" spans="1:24" ht="14.25" customHeight="1">
      <c r="A154" s="28" t="s">
        <v>214</v>
      </c>
      <c r="B154" s="29" t="s">
        <v>14</v>
      </c>
      <c r="C154" s="29" t="s">
        <v>21</v>
      </c>
      <c r="D154" s="29">
        <v>1615.04</v>
      </c>
      <c r="E154" s="29">
        <v>0.05</v>
      </c>
      <c r="F154" s="29">
        <v>3</v>
      </c>
      <c r="G154" s="30">
        <v>45340</v>
      </c>
      <c r="H154" s="30">
        <v>45342</v>
      </c>
      <c r="I154" s="29" t="s">
        <v>22</v>
      </c>
      <c r="J154" s="29" t="s">
        <v>17</v>
      </c>
      <c r="K154" s="29">
        <v>253.65</v>
      </c>
      <c r="L154" s="28" t="s">
        <v>59</v>
      </c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</row>
    <row r="155" spans="1:24" ht="14.25" customHeight="1">
      <c r="A155" s="28" t="s">
        <v>215</v>
      </c>
      <c r="B155" s="29" t="s">
        <v>20</v>
      </c>
      <c r="C155" s="29" t="s">
        <v>15</v>
      </c>
      <c r="D155" s="29">
        <v>2704.37</v>
      </c>
      <c r="E155" s="29">
        <v>0.08</v>
      </c>
      <c r="F155" s="29">
        <v>7</v>
      </c>
      <c r="G155" s="30">
        <v>45399</v>
      </c>
      <c r="H155" s="30">
        <v>45405</v>
      </c>
      <c r="I155" s="29" t="s">
        <v>22</v>
      </c>
      <c r="J155" s="29" t="s">
        <v>17</v>
      </c>
      <c r="K155" s="29">
        <v>742.76</v>
      </c>
      <c r="L155" s="28" t="s">
        <v>70</v>
      </c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</row>
    <row r="156" spans="1:24" ht="14.25" customHeight="1">
      <c r="A156" s="28" t="s">
        <v>216</v>
      </c>
      <c r="B156" s="29" t="s">
        <v>27</v>
      </c>
      <c r="C156" s="29" t="s">
        <v>15</v>
      </c>
      <c r="D156" s="29">
        <v>804.72</v>
      </c>
      <c r="E156" s="29">
        <v>0.41</v>
      </c>
      <c r="F156" s="29">
        <v>2</v>
      </c>
      <c r="G156" s="30">
        <v>45458</v>
      </c>
      <c r="H156" s="30">
        <v>45460</v>
      </c>
      <c r="I156" s="29" t="s">
        <v>22</v>
      </c>
      <c r="J156" s="29" t="s">
        <v>17</v>
      </c>
      <c r="K156" s="29">
        <v>182.68</v>
      </c>
      <c r="L156" s="28" t="s">
        <v>113</v>
      </c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</row>
    <row r="157" spans="1:24" ht="14.25" customHeight="1">
      <c r="A157" s="28" t="s">
        <v>217</v>
      </c>
      <c r="B157" s="29" t="s">
        <v>35</v>
      </c>
      <c r="C157" s="29" t="s">
        <v>28</v>
      </c>
      <c r="D157" s="29">
        <v>4142.6499999999996</v>
      </c>
      <c r="E157" s="29">
        <v>0.31</v>
      </c>
      <c r="F157" s="29">
        <v>4</v>
      </c>
      <c r="G157" s="30">
        <v>45128</v>
      </c>
      <c r="H157" s="30">
        <v>45129</v>
      </c>
      <c r="I157" s="29" t="s">
        <v>16</v>
      </c>
      <c r="J157" s="29" t="s">
        <v>29</v>
      </c>
      <c r="K157" s="29">
        <v>735.37</v>
      </c>
      <c r="L157" s="28" t="s">
        <v>24</v>
      </c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</row>
    <row r="158" spans="1:24" ht="14.25" customHeight="1">
      <c r="A158" s="28" t="s">
        <v>218</v>
      </c>
      <c r="B158" s="29" t="s">
        <v>14</v>
      </c>
      <c r="C158" s="29" t="s">
        <v>47</v>
      </c>
      <c r="D158" s="29">
        <v>3706.28</v>
      </c>
      <c r="E158" s="29">
        <v>0.25</v>
      </c>
      <c r="F158" s="29">
        <v>4</v>
      </c>
      <c r="G158" s="30">
        <v>45149</v>
      </c>
      <c r="H158" s="30">
        <v>45156</v>
      </c>
      <c r="I158" s="29" t="s">
        <v>16</v>
      </c>
      <c r="J158" s="29" t="s">
        <v>17</v>
      </c>
      <c r="K158" s="29">
        <v>813.65</v>
      </c>
      <c r="L158" s="28" t="s">
        <v>59</v>
      </c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</row>
    <row r="159" spans="1:24" ht="14.25" customHeight="1">
      <c r="A159" s="28" t="s">
        <v>219</v>
      </c>
      <c r="B159" s="29" t="s">
        <v>20</v>
      </c>
      <c r="C159" s="29" t="s">
        <v>15</v>
      </c>
      <c r="D159" s="29">
        <v>2697.46</v>
      </c>
      <c r="E159" s="29">
        <v>0.37</v>
      </c>
      <c r="F159" s="29">
        <v>1</v>
      </c>
      <c r="G159" s="30">
        <v>45055</v>
      </c>
      <c r="H159" s="30">
        <v>45058</v>
      </c>
      <c r="I159" s="29" t="s">
        <v>22</v>
      </c>
      <c r="J159" s="29" t="s">
        <v>29</v>
      </c>
      <c r="K159" s="29">
        <v>597.1</v>
      </c>
      <c r="L159" s="28" t="s">
        <v>74</v>
      </c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</row>
    <row r="160" spans="1:24" ht="14.25" customHeight="1">
      <c r="A160" s="28" t="s">
        <v>220</v>
      </c>
      <c r="B160" s="29" t="s">
        <v>27</v>
      </c>
      <c r="C160" s="29" t="s">
        <v>28</v>
      </c>
      <c r="D160" s="29">
        <v>226.92</v>
      </c>
      <c r="E160" s="29">
        <v>0.48</v>
      </c>
      <c r="F160" s="29">
        <v>7</v>
      </c>
      <c r="G160" s="30">
        <v>45256</v>
      </c>
      <c r="H160" s="30">
        <v>45262</v>
      </c>
      <c r="I160" s="29" t="s">
        <v>16</v>
      </c>
      <c r="J160" s="29" t="s">
        <v>17</v>
      </c>
      <c r="K160" s="29">
        <v>43.53</v>
      </c>
      <c r="L160" s="28" t="s">
        <v>74</v>
      </c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</row>
    <row r="161" spans="1:24" ht="14.25" customHeight="1">
      <c r="A161" s="28" t="s">
        <v>221</v>
      </c>
      <c r="B161" s="29" t="s">
        <v>35</v>
      </c>
      <c r="C161" s="29" t="s">
        <v>47</v>
      </c>
      <c r="D161" s="29">
        <v>2458.16</v>
      </c>
      <c r="E161" s="29">
        <v>0.21</v>
      </c>
      <c r="F161" s="29">
        <v>4</v>
      </c>
      <c r="G161" s="30">
        <v>45584</v>
      </c>
      <c r="H161" s="30">
        <v>45585</v>
      </c>
      <c r="I161" s="29" t="s">
        <v>22</v>
      </c>
      <c r="J161" s="29" t="s">
        <v>29</v>
      </c>
      <c r="K161" s="29">
        <v>508.56</v>
      </c>
      <c r="L161" s="28" t="s">
        <v>63</v>
      </c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</row>
    <row r="162" spans="1:24" ht="14.25" customHeight="1">
      <c r="A162" s="28" t="s">
        <v>222</v>
      </c>
      <c r="B162" s="29" t="s">
        <v>14</v>
      </c>
      <c r="C162" s="29" t="s">
        <v>28</v>
      </c>
      <c r="D162" s="29">
        <v>1203.46</v>
      </c>
      <c r="E162" s="29">
        <v>0.18</v>
      </c>
      <c r="F162" s="29">
        <v>1</v>
      </c>
      <c r="G162" s="30">
        <v>45367</v>
      </c>
      <c r="H162" s="30">
        <v>45372</v>
      </c>
      <c r="I162" s="29" t="s">
        <v>42</v>
      </c>
      <c r="J162" s="29" t="s">
        <v>29</v>
      </c>
      <c r="K162" s="29">
        <v>166.4</v>
      </c>
      <c r="L162" s="28" t="s">
        <v>37</v>
      </c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</row>
    <row r="163" spans="1:24" ht="14.25" customHeight="1">
      <c r="A163" s="28" t="s">
        <v>223</v>
      </c>
      <c r="B163" s="29" t="s">
        <v>20</v>
      </c>
      <c r="C163" s="29" t="s">
        <v>47</v>
      </c>
      <c r="D163" s="29">
        <v>2125.5300000000002</v>
      </c>
      <c r="E163" s="29">
        <v>0.49</v>
      </c>
      <c r="F163" s="29">
        <v>3</v>
      </c>
      <c r="G163" s="30">
        <v>45054</v>
      </c>
      <c r="H163" s="30">
        <v>45058</v>
      </c>
      <c r="I163" s="29" t="s">
        <v>42</v>
      </c>
      <c r="J163" s="29" t="s">
        <v>23</v>
      </c>
      <c r="K163" s="29">
        <v>292.08</v>
      </c>
      <c r="L163" s="28" t="s">
        <v>77</v>
      </c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</row>
    <row r="164" spans="1:24" ht="14.25" customHeight="1">
      <c r="A164" s="28" t="s">
        <v>224</v>
      </c>
      <c r="B164" s="29" t="s">
        <v>27</v>
      </c>
      <c r="C164" s="29" t="s">
        <v>52</v>
      </c>
      <c r="D164" s="29">
        <v>4296.49</v>
      </c>
      <c r="E164" s="29">
        <v>0.39</v>
      </c>
      <c r="F164" s="29">
        <v>8</v>
      </c>
      <c r="G164" s="30">
        <v>45067</v>
      </c>
      <c r="H164" s="30">
        <v>45074</v>
      </c>
      <c r="I164" s="29" t="s">
        <v>22</v>
      </c>
      <c r="J164" s="29" t="s">
        <v>17</v>
      </c>
      <c r="K164" s="29">
        <v>579.12</v>
      </c>
      <c r="L164" s="28" t="s">
        <v>56</v>
      </c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</row>
    <row r="165" spans="1:24" ht="14.25" customHeight="1">
      <c r="A165" s="28" t="s">
        <v>225</v>
      </c>
      <c r="B165" s="29" t="s">
        <v>35</v>
      </c>
      <c r="C165" s="29" t="s">
        <v>47</v>
      </c>
      <c r="D165" s="29">
        <v>3871.06</v>
      </c>
      <c r="E165" s="29">
        <v>0.39</v>
      </c>
      <c r="F165" s="29">
        <v>4</v>
      </c>
      <c r="G165" s="30">
        <v>45396</v>
      </c>
      <c r="H165" s="30">
        <v>45403</v>
      </c>
      <c r="I165" s="29" t="s">
        <v>42</v>
      </c>
      <c r="J165" s="29" t="s">
        <v>23</v>
      </c>
      <c r="K165" s="29">
        <v>230.99</v>
      </c>
      <c r="L165" s="28" t="s">
        <v>37</v>
      </c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</row>
    <row r="166" spans="1:24" ht="14.25" customHeight="1">
      <c r="A166" s="28" t="s">
        <v>226</v>
      </c>
      <c r="B166" s="29" t="s">
        <v>14</v>
      </c>
      <c r="C166" s="29" t="s">
        <v>21</v>
      </c>
      <c r="D166" s="29">
        <v>1285.57</v>
      </c>
      <c r="E166" s="29">
        <v>0.3</v>
      </c>
      <c r="F166" s="29">
        <v>1</v>
      </c>
      <c r="G166" s="30">
        <v>45508</v>
      </c>
      <c r="H166" s="30">
        <v>45509</v>
      </c>
      <c r="I166" s="29" t="s">
        <v>42</v>
      </c>
      <c r="J166" s="29" t="s">
        <v>29</v>
      </c>
      <c r="K166" s="29">
        <v>330.45</v>
      </c>
      <c r="L166" s="28" t="s">
        <v>82</v>
      </c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</row>
    <row r="167" spans="1:24" ht="14.25" customHeight="1">
      <c r="A167" s="28" t="s">
        <v>227</v>
      </c>
      <c r="B167" s="29" t="s">
        <v>20</v>
      </c>
      <c r="C167" s="29" t="s">
        <v>52</v>
      </c>
      <c r="D167" s="29">
        <v>4926.2700000000004</v>
      </c>
      <c r="E167" s="29">
        <v>0.25</v>
      </c>
      <c r="F167" s="29">
        <v>7</v>
      </c>
      <c r="G167" s="30">
        <v>45087</v>
      </c>
      <c r="H167" s="30">
        <v>45088</v>
      </c>
      <c r="I167" s="29" t="s">
        <v>42</v>
      </c>
      <c r="J167" s="29" t="s">
        <v>29</v>
      </c>
      <c r="K167" s="29">
        <v>440.26</v>
      </c>
      <c r="L167" s="28" t="s">
        <v>56</v>
      </c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</row>
    <row r="168" spans="1:24" ht="14.25" customHeight="1">
      <c r="A168" s="28" t="s">
        <v>228</v>
      </c>
      <c r="B168" s="29" t="s">
        <v>27</v>
      </c>
      <c r="C168" s="29" t="s">
        <v>28</v>
      </c>
      <c r="D168" s="29">
        <v>4525.7299999999996</v>
      </c>
      <c r="E168" s="29">
        <v>0.28000000000000003</v>
      </c>
      <c r="F168" s="29">
        <v>8</v>
      </c>
      <c r="G168" s="30">
        <v>45375</v>
      </c>
      <c r="H168" s="30">
        <v>45380</v>
      </c>
      <c r="I168" s="29" t="s">
        <v>22</v>
      </c>
      <c r="J168" s="29" t="s">
        <v>17</v>
      </c>
      <c r="K168" s="29">
        <v>332.86</v>
      </c>
      <c r="L168" s="28" t="s">
        <v>74</v>
      </c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</row>
    <row r="169" spans="1:24" ht="14.25" customHeight="1">
      <c r="A169" s="28" t="s">
        <v>229</v>
      </c>
      <c r="B169" s="29" t="s">
        <v>35</v>
      </c>
      <c r="C169" s="29" t="s">
        <v>52</v>
      </c>
      <c r="D169" s="29">
        <v>2690.5</v>
      </c>
      <c r="E169" s="29">
        <v>0.33</v>
      </c>
      <c r="F169" s="29">
        <v>5</v>
      </c>
      <c r="G169" s="30">
        <v>45441</v>
      </c>
      <c r="H169" s="30">
        <v>45444</v>
      </c>
      <c r="I169" s="29" t="s">
        <v>16</v>
      </c>
      <c r="J169" s="29" t="s">
        <v>29</v>
      </c>
      <c r="K169" s="29">
        <v>418.96</v>
      </c>
      <c r="L169" s="28" t="s">
        <v>56</v>
      </c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</row>
    <row r="170" spans="1:24" ht="14.25" customHeight="1">
      <c r="A170" s="28" t="s">
        <v>230</v>
      </c>
      <c r="B170" s="29" t="s">
        <v>14</v>
      </c>
      <c r="C170" s="29" t="s">
        <v>52</v>
      </c>
      <c r="D170" s="29">
        <v>2697.74</v>
      </c>
      <c r="E170" s="29">
        <v>0.19</v>
      </c>
      <c r="F170" s="29">
        <v>9</v>
      </c>
      <c r="G170" s="30">
        <v>45315</v>
      </c>
      <c r="H170" s="30">
        <v>45319</v>
      </c>
      <c r="I170" s="29" t="s">
        <v>22</v>
      </c>
      <c r="J170" s="29" t="s">
        <v>17</v>
      </c>
      <c r="K170" s="29">
        <v>458.18</v>
      </c>
      <c r="L170" s="28" t="s">
        <v>74</v>
      </c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</row>
    <row r="171" spans="1:24" ht="14.25" customHeight="1">
      <c r="A171" s="28" t="s">
        <v>231</v>
      </c>
      <c r="B171" s="29" t="s">
        <v>20</v>
      </c>
      <c r="C171" s="29" t="s">
        <v>28</v>
      </c>
      <c r="D171" s="29">
        <v>4516.2</v>
      </c>
      <c r="E171" s="29">
        <v>0.39</v>
      </c>
      <c r="F171" s="29">
        <v>7</v>
      </c>
      <c r="G171" s="30">
        <v>45450</v>
      </c>
      <c r="H171" s="30">
        <v>45457</v>
      </c>
      <c r="I171" s="29" t="s">
        <v>22</v>
      </c>
      <c r="J171" s="29" t="s">
        <v>17</v>
      </c>
      <c r="K171" s="29">
        <v>522.95000000000005</v>
      </c>
      <c r="L171" s="28" t="s">
        <v>24</v>
      </c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</row>
    <row r="172" spans="1:24" ht="14.25" customHeight="1">
      <c r="A172" s="28" t="s">
        <v>232</v>
      </c>
      <c r="B172" s="29" t="s">
        <v>27</v>
      </c>
      <c r="C172" s="29" t="s">
        <v>28</v>
      </c>
      <c r="D172" s="29">
        <v>3217.11</v>
      </c>
      <c r="E172" s="29">
        <v>0.45</v>
      </c>
      <c r="F172" s="29">
        <v>4</v>
      </c>
      <c r="G172" s="30">
        <v>45215</v>
      </c>
      <c r="H172" s="30">
        <v>45219</v>
      </c>
      <c r="I172" s="29" t="s">
        <v>16</v>
      </c>
      <c r="J172" s="29" t="s">
        <v>17</v>
      </c>
      <c r="K172" s="29">
        <v>930.19</v>
      </c>
      <c r="L172" s="28" t="s">
        <v>59</v>
      </c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</row>
    <row r="173" spans="1:24" ht="14.25" customHeight="1">
      <c r="A173" s="28" t="s">
        <v>233</v>
      </c>
      <c r="B173" s="29" t="s">
        <v>35</v>
      </c>
      <c r="C173" s="29" t="s">
        <v>21</v>
      </c>
      <c r="D173" s="29">
        <v>2729.77</v>
      </c>
      <c r="E173" s="29">
        <v>0.28999999999999998</v>
      </c>
      <c r="F173" s="29">
        <v>9</v>
      </c>
      <c r="G173" s="30">
        <v>45415</v>
      </c>
      <c r="H173" s="30">
        <v>45418</v>
      </c>
      <c r="I173" s="29" t="s">
        <v>22</v>
      </c>
      <c r="J173" s="29" t="s">
        <v>23</v>
      </c>
      <c r="K173" s="29">
        <v>250.2</v>
      </c>
      <c r="L173" s="28" t="s">
        <v>54</v>
      </c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</row>
    <row r="174" spans="1:24" ht="14.25" customHeight="1">
      <c r="A174" s="28" t="s">
        <v>234</v>
      </c>
      <c r="B174" s="29" t="s">
        <v>14</v>
      </c>
      <c r="C174" s="29" t="s">
        <v>28</v>
      </c>
      <c r="D174" s="29">
        <v>3770.83</v>
      </c>
      <c r="E174" s="29">
        <v>0.19</v>
      </c>
      <c r="F174" s="29">
        <v>6</v>
      </c>
      <c r="G174" s="30">
        <v>44953</v>
      </c>
      <c r="H174" s="30">
        <v>44959</v>
      </c>
      <c r="I174" s="29" t="s">
        <v>22</v>
      </c>
      <c r="J174" s="29" t="s">
        <v>17</v>
      </c>
      <c r="K174" s="29">
        <v>729.42</v>
      </c>
      <c r="L174" s="28" t="s">
        <v>18</v>
      </c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</row>
    <row r="175" spans="1:24" ht="14.25" customHeight="1">
      <c r="A175" s="28" t="s">
        <v>235</v>
      </c>
      <c r="B175" s="29" t="s">
        <v>20</v>
      </c>
      <c r="C175" s="29" t="s">
        <v>15</v>
      </c>
      <c r="D175" s="29">
        <v>1251.98</v>
      </c>
      <c r="E175" s="29">
        <v>0.35</v>
      </c>
      <c r="F175" s="29">
        <v>8</v>
      </c>
      <c r="G175" s="30">
        <v>45295</v>
      </c>
      <c r="H175" s="30">
        <v>45300</v>
      </c>
      <c r="I175" s="29" t="s">
        <v>22</v>
      </c>
      <c r="J175" s="29" t="s">
        <v>17</v>
      </c>
      <c r="K175" s="29">
        <v>253.73</v>
      </c>
      <c r="L175" s="28" t="s">
        <v>37</v>
      </c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</row>
    <row r="176" spans="1:24" ht="14.25" customHeight="1">
      <c r="A176" s="28" t="s">
        <v>236</v>
      </c>
      <c r="B176" s="29" t="s">
        <v>27</v>
      </c>
      <c r="C176" s="29" t="s">
        <v>15</v>
      </c>
      <c r="D176" s="29">
        <v>4404.05</v>
      </c>
      <c r="E176" s="29">
        <v>0.09</v>
      </c>
      <c r="F176" s="29">
        <v>2</v>
      </c>
      <c r="G176" s="30">
        <v>44939</v>
      </c>
      <c r="H176" s="30">
        <v>44945</v>
      </c>
      <c r="I176" s="29" t="s">
        <v>42</v>
      </c>
      <c r="J176" s="29" t="s">
        <v>17</v>
      </c>
      <c r="K176" s="29">
        <v>941.87</v>
      </c>
      <c r="L176" s="28" t="s">
        <v>82</v>
      </c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</row>
    <row r="177" spans="1:24" ht="14.25" customHeight="1">
      <c r="A177" s="28" t="s">
        <v>237</v>
      </c>
      <c r="B177" s="29" t="s">
        <v>35</v>
      </c>
      <c r="C177" s="29" t="s">
        <v>21</v>
      </c>
      <c r="D177" s="29">
        <v>2703.93</v>
      </c>
      <c r="E177" s="29">
        <v>0.48</v>
      </c>
      <c r="F177" s="29">
        <v>5</v>
      </c>
      <c r="G177" s="30">
        <v>45292</v>
      </c>
      <c r="H177" s="30">
        <v>45297</v>
      </c>
      <c r="I177" s="29" t="s">
        <v>22</v>
      </c>
      <c r="J177" s="29" t="s">
        <v>17</v>
      </c>
      <c r="K177" s="29">
        <v>671.84</v>
      </c>
      <c r="L177" s="28" t="s">
        <v>77</v>
      </c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</row>
    <row r="178" spans="1:24" ht="14.25" customHeight="1">
      <c r="A178" s="28" t="s">
        <v>238</v>
      </c>
      <c r="B178" s="29" t="s">
        <v>14</v>
      </c>
      <c r="C178" s="29" t="s">
        <v>47</v>
      </c>
      <c r="D178" s="29">
        <v>3057.15</v>
      </c>
      <c r="E178" s="29">
        <v>0.33</v>
      </c>
      <c r="F178" s="29">
        <v>3</v>
      </c>
      <c r="G178" s="30">
        <v>45049</v>
      </c>
      <c r="H178" s="30">
        <v>45050</v>
      </c>
      <c r="I178" s="29" t="s">
        <v>22</v>
      </c>
      <c r="J178" s="29" t="s">
        <v>17</v>
      </c>
      <c r="K178" s="29">
        <v>814</v>
      </c>
      <c r="L178" s="28" t="s">
        <v>56</v>
      </c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</row>
    <row r="179" spans="1:24" ht="14.25" customHeight="1">
      <c r="A179" s="28" t="s">
        <v>239</v>
      </c>
      <c r="B179" s="29" t="s">
        <v>20</v>
      </c>
      <c r="C179" s="29" t="s">
        <v>47</v>
      </c>
      <c r="D179" s="29">
        <v>540.72</v>
      </c>
      <c r="E179" s="29">
        <v>0.03</v>
      </c>
      <c r="F179" s="29">
        <v>5</v>
      </c>
      <c r="G179" s="30">
        <v>45641</v>
      </c>
      <c r="H179" s="30">
        <v>45643</v>
      </c>
      <c r="I179" s="29" t="s">
        <v>16</v>
      </c>
      <c r="J179" s="29" t="s">
        <v>23</v>
      </c>
      <c r="K179" s="29">
        <v>66.459999999999994</v>
      </c>
      <c r="L179" s="28" t="s">
        <v>54</v>
      </c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</row>
    <row r="180" spans="1:24" ht="14.25" customHeight="1">
      <c r="A180" s="28" t="s">
        <v>240</v>
      </c>
      <c r="B180" s="29" t="s">
        <v>27</v>
      </c>
      <c r="C180" s="29" t="s">
        <v>15</v>
      </c>
      <c r="D180" s="29">
        <v>1616.59</v>
      </c>
      <c r="E180" s="29">
        <v>0.26</v>
      </c>
      <c r="F180" s="29">
        <v>8</v>
      </c>
      <c r="G180" s="30">
        <v>45180</v>
      </c>
      <c r="H180" s="30">
        <v>45187</v>
      </c>
      <c r="I180" s="29" t="s">
        <v>42</v>
      </c>
      <c r="J180" s="29" t="s">
        <v>17</v>
      </c>
      <c r="K180" s="29">
        <v>479.33</v>
      </c>
      <c r="L180" s="28" t="s">
        <v>30</v>
      </c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</row>
    <row r="181" spans="1:24" ht="14.25" customHeight="1">
      <c r="A181" s="28" t="s">
        <v>241</v>
      </c>
      <c r="B181" s="29" t="s">
        <v>35</v>
      </c>
      <c r="C181" s="29" t="s">
        <v>28</v>
      </c>
      <c r="D181" s="29">
        <v>2191</v>
      </c>
      <c r="E181" s="29">
        <v>0.38</v>
      </c>
      <c r="F181" s="29">
        <v>6</v>
      </c>
      <c r="G181" s="30">
        <v>45641</v>
      </c>
      <c r="H181" s="30">
        <v>45643</v>
      </c>
      <c r="I181" s="29" t="s">
        <v>42</v>
      </c>
      <c r="J181" s="29" t="s">
        <v>29</v>
      </c>
      <c r="K181" s="29">
        <v>336.28</v>
      </c>
      <c r="L181" s="28" t="s">
        <v>113</v>
      </c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</row>
    <row r="182" spans="1:24" ht="14.25" customHeight="1">
      <c r="A182" s="28" t="s">
        <v>242</v>
      </c>
      <c r="B182" s="29" t="s">
        <v>14</v>
      </c>
      <c r="C182" s="29" t="s">
        <v>21</v>
      </c>
      <c r="D182" s="29">
        <v>2128.16</v>
      </c>
      <c r="E182" s="29">
        <v>0.14000000000000001</v>
      </c>
      <c r="F182" s="29">
        <v>1</v>
      </c>
      <c r="G182" s="30">
        <v>45602</v>
      </c>
      <c r="H182" s="30">
        <v>45607</v>
      </c>
      <c r="I182" s="29" t="s">
        <v>22</v>
      </c>
      <c r="J182" s="29" t="s">
        <v>29</v>
      </c>
      <c r="K182" s="29">
        <v>523.61</v>
      </c>
      <c r="L182" s="28" t="s">
        <v>84</v>
      </c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</row>
    <row r="183" spans="1:24" ht="14.25" customHeight="1">
      <c r="A183" s="28" t="s">
        <v>243</v>
      </c>
      <c r="B183" s="29" t="s">
        <v>20</v>
      </c>
      <c r="C183" s="29" t="s">
        <v>47</v>
      </c>
      <c r="D183" s="29">
        <v>3913.59</v>
      </c>
      <c r="E183" s="29">
        <v>0.03</v>
      </c>
      <c r="F183" s="29">
        <v>7</v>
      </c>
      <c r="G183" s="30">
        <v>45287</v>
      </c>
      <c r="H183" s="30">
        <v>45290</v>
      </c>
      <c r="I183" s="29" t="s">
        <v>42</v>
      </c>
      <c r="J183" s="29" t="s">
        <v>17</v>
      </c>
      <c r="K183" s="29">
        <v>235.73</v>
      </c>
      <c r="L183" s="28" t="s">
        <v>59</v>
      </c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</row>
    <row r="184" spans="1:24" ht="14.25" customHeight="1">
      <c r="A184" s="28" t="s">
        <v>244</v>
      </c>
      <c r="B184" s="29" t="s">
        <v>27</v>
      </c>
      <c r="C184" s="29" t="s">
        <v>47</v>
      </c>
      <c r="D184" s="29">
        <v>1483.38</v>
      </c>
      <c r="E184" s="29">
        <v>0.24</v>
      </c>
      <c r="F184" s="29">
        <v>1</v>
      </c>
      <c r="G184" s="30">
        <v>45112</v>
      </c>
      <c r="H184" s="30">
        <v>45118</v>
      </c>
      <c r="I184" s="29" t="s">
        <v>42</v>
      </c>
      <c r="J184" s="29" t="s">
        <v>17</v>
      </c>
      <c r="K184" s="29">
        <v>350.59</v>
      </c>
      <c r="L184" s="28" t="s">
        <v>70</v>
      </c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</row>
    <row r="185" spans="1:24" ht="14.25" customHeight="1">
      <c r="A185" s="28" t="s">
        <v>245</v>
      </c>
      <c r="B185" s="29" t="s">
        <v>35</v>
      </c>
      <c r="C185" s="29" t="s">
        <v>52</v>
      </c>
      <c r="D185" s="29">
        <v>992.34</v>
      </c>
      <c r="E185" s="29">
        <v>0.42</v>
      </c>
      <c r="F185" s="29">
        <v>1</v>
      </c>
      <c r="G185" s="30">
        <v>45246</v>
      </c>
      <c r="H185" s="30">
        <v>45249</v>
      </c>
      <c r="I185" s="29" t="s">
        <v>16</v>
      </c>
      <c r="J185" s="29" t="s">
        <v>17</v>
      </c>
      <c r="K185" s="29">
        <v>255.64</v>
      </c>
      <c r="L185" s="28" t="s">
        <v>84</v>
      </c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</row>
    <row r="186" spans="1:24" ht="14.25" customHeight="1">
      <c r="A186" s="28" t="s">
        <v>246</v>
      </c>
      <c r="B186" s="29" t="s">
        <v>14</v>
      </c>
      <c r="C186" s="29" t="s">
        <v>15</v>
      </c>
      <c r="D186" s="29">
        <v>2954.82</v>
      </c>
      <c r="E186" s="29">
        <v>0.13</v>
      </c>
      <c r="F186" s="29">
        <v>4</v>
      </c>
      <c r="G186" s="30">
        <v>45360</v>
      </c>
      <c r="H186" s="30">
        <v>45362</v>
      </c>
      <c r="I186" s="29" t="s">
        <v>16</v>
      </c>
      <c r="J186" s="29" t="s">
        <v>17</v>
      </c>
      <c r="K186" s="29">
        <v>227.77</v>
      </c>
      <c r="L186" s="28" t="s">
        <v>77</v>
      </c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</row>
    <row r="187" spans="1:24" ht="14.25" customHeight="1">
      <c r="A187" s="28" t="s">
        <v>247</v>
      </c>
      <c r="B187" s="29" t="s">
        <v>20</v>
      </c>
      <c r="C187" s="29" t="s">
        <v>28</v>
      </c>
      <c r="D187" s="29">
        <v>3113.57</v>
      </c>
      <c r="E187" s="29">
        <v>0.36</v>
      </c>
      <c r="F187" s="29">
        <v>9</v>
      </c>
      <c r="G187" s="30">
        <v>45560</v>
      </c>
      <c r="H187" s="30">
        <v>45566</v>
      </c>
      <c r="I187" s="29" t="s">
        <v>42</v>
      </c>
      <c r="J187" s="29" t="s">
        <v>17</v>
      </c>
      <c r="K187" s="29">
        <v>393.92</v>
      </c>
      <c r="L187" s="28" t="s">
        <v>63</v>
      </c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</row>
    <row r="188" spans="1:24" ht="14.25" customHeight="1">
      <c r="A188" s="28" t="s">
        <v>248</v>
      </c>
      <c r="B188" s="29" t="s">
        <v>27</v>
      </c>
      <c r="C188" s="29" t="s">
        <v>21</v>
      </c>
      <c r="D188" s="29">
        <v>695.76</v>
      </c>
      <c r="E188" s="29">
        <v>0.2</v>
      </c>
      <c r="F188" s="29">
        <v>8</v>
      </c>
      <c r="G188" s="30">
        <v>45617</v>
      </c>
      <c r="H188" s="30">
        <v>45620</v>
      </c>
      <c r="I188" s="29" t="s">
        <v>16</v>
      </c>
      <c r="J188" s="29" t="s">
        <v>29</v>
      </c>
      <c r="K188" s="29">
        <v>112.67</v>
      </c>
      <c r="L188" s="28" t="s">
        <v>82</v>
      </c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</row>
    <row r="189" spans="1:24" ht="14.25" customHeight="1">
      <c r="A189" s="28" t="s">
        <v>249</v>
      </c>
      <c r="B189" s="29" t="s">
        <v>35</v>
      </c>
      <c r="C189" s="29" t="s">
        <v>47</v>
      </c>
      <c r="D189" s="29">
        <v>112.1</v>
      </c>
      <c r="E189" s="29">
        <v>0.03</v>
      </c>
      <c r="F189" s="29">
        <v>3</v>
      </c>
      <c r="G189" s="30">
        <v>45570</v>
      </c>
      <c r="H189" s="30">
        <v>45573</v>
      </c>
      <c r="I189" s="29" t="s">
        <v>22</v>
      </c>
      <c r="J189" s="29" t="s">
        <v>17</v>
      </c>
      <c r="K189" s="29">
        <v>27.01</v>
      </c>
      <c r="L189" s="28" t="s">
        <v>84</v>
      </c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</row>
    <row r="190" spans="1:24" ht="14.25" customHeight="1">
      <c r="A190" s="28" t="s">
        <v>250</v>
      </c>
      <c r="B190" s="29" t="s">
        <v>14</v>
      </c>
      <c r="C190" s="29" t="s">
        <v>52</v>
      </c>
      <c r="D190" s="29">
        <v>4596.4799999999996</v>
      </c>
      <c r="E190" s="29">
        <v>0.15</v>
      </c>
      <c r="F190" s="29">
        <v>6</v>
      </c>
      <c r="G190" s="30">
        <v>45226</v>
      </c>
      <c r="H190" s="30">
        <v>45233</v>
      </c>
      <c r="I190" s="29" t="s">
        <v>16</v>
      </c>
      <c r="J190" s="29" t="s">
        <v>17</v>
      </c>
      <c r="K190" s="29">
        <v>838.45</v>
      </c>
      <c r="L190" s="28" t="s">
        <v>30</v>
      </c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</row>
    <row r="191" spans="1:24" ht="14.25" customHeight="1">
      <c r="A191" s="28" t="s">
        <v>251</v>
      </c>
      <c r="B191" s="29" t="s">
        <v>20</v>
      </c>
      <c r="C191" s="29" t="s">
        <v>15</v>
      </c>
      <c r="D191" s="29">
        <v>490.22</v>
      </c>
      <c r="E191" s="29">
        <v>0.16</v>
      </c>
      <c r="F191" s="29">
        <v>1</v>
      </c>
      <c r="G191" s="30">
        <v>45456</v>
      </c>
      <c r="H191" s="30">
        <v>45463</v>
      </c>
      <c r="I191" s="29" t="s">
        <v>22</v>
      </c>
      <c r="J191" s="29" t="s">
        <v>17</v>
      </c>
      <c r="K191" s="29">
        <v>101.89</v>
      </c>
      <c r="L191" s="28" t="s">
        <v>77</v>
      </c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</row>
    <row r="192" spans="1:24" ht="14.25" customHeight="1">
      <c r="A192" s="28" t="s">
        <v>252</v>
      </c>
      <c r="B192" s="29" t="s">
        <v>27</v>
      </c>
      <c r="C192" s="29" t="s">
        <v>15</v>
      </c>
      <c r="D192" s="29">
        <v>4499.55</v>
      </c>
      <c r="E192" s="29">
        <v>0.45</v>
      </c>
      <c r="F192" s="29">
        <v>1</v>
      </c>
      <c r="G192" s="30">
        <v>44944</v>
      </c>
      <c r="H192" s="30">
        <v>44950</v>
      </c>
      <c r="I192" s="29" t="s">
        <v>16</v>
      </c>
      <c r="J192" s="29" t="s">
        <v>29</v>
      </c>
      <c r="K192" s="29">
        <v>639.71</v>
      </c>
      <c r="L192" s="28" t="s">
        <v>84</v>
      </c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</row>
    <row r="193" spans="1:24" ht="14.25" customHeight="1">
      <c r="A193" s="28" t="s">
        <v>253</v>
      </c>
      <c r="B193" s="29" t="s">
        <v>35</v>
      </c>
      <c r="C193" s="29" t="s">
        <v>21</v>
      </c>
      <c r="D193" s="29">
        <v>2056.15</v>
      </c>
      <c r="E193" s="29">
        <v>0.49</v>
      </c>
      <c r="F193" s="29">
        <v>6</v>
      </c>
      <c r="G193" s="30">
        <v>45402</v>
      </c>
      <c r="H193" s="30">
        <v>45406</v>
      </c>
      <c r="I193" s="29" t="s">
        <v>42</v>
      </c>
      <c r="J193" s="29" t="s">
        <v>29</v>
      </c>
      <c r="K193" s="29">
        <v>549.92999999999995</v>
      </c>
      <c r="L193" s="28" t="s">
        <v>30</v>
      </c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</row>
    <row r="194" spans="1:24" ht="14.25" customHeight="1">
      <c r="A194" s="28" t="s">
        <v>254</v>
      </c>
      <c r="B194" s="29" t="s">
        <v>14</v>
      </c>
      <c r="C194" s="29" t="s">
        <v>47</v>
      </c>
      <c r="D194" s="29">
        <v>3299.97</v>
      </c>
      <c r="E194" s="29">
        <v>0.1</v>
      </c>
      <c r="F194" s="29">
        <v>5</v>
      </c>
      <c r="G194" s="30">
        <v>44932</v>
      </c>
      <c r="H194" s="30">
        <v>44939</v>
      </c>
      <c r="I194" s="29" t="s">
        <v>22</v>
      </c>
      <c r="J194" s="29" t="s">
        <v>17</v>
      </c>
      <c r="K194" s="29">
        <v>467.32</v>
      </c>
      <c r="L194" s="28" t="s">
        <v>87</v>
      </c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</row>
    <row r="195" spans="1:24" ht="14.25" customHeight="1">
      <c r="A195" s="28" t="s">
        <v>255</v>
      </c>
      <c r="B195" s="29" t="s">
        <v>20</v>
      </c>
      <c r="C195" s="29" t="s">
        <v>21</v>
      </c>
      <c r="D195" s="29">
        <v>1009.51</v>
      </c>
      <c r="E195" s="29">
        <v>0.22</v>
      </c>
      <c r="F195" s="29">
        <v>6</v>
      </c>
      <c r="G195" s="30">
        <v>45113</v>
      </c>
      <c r="H195" s="30">
        <v>45119</v>
      </c>
      <c r="I195" s="29" t="s">
        <v>16</v>
      </c>
      <c r="J195" s="29" t="s">
        <v>29</v>
      </c>
      <c r="K195" s="29">
        <v>170.18</v>
      </c>
      <c r="L195" s="28" t="s">
        <v>18</v>
      </c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</row>
    <row r="196" spans="1:24" ht="14.25" customHeight="1">
      <c r="A196" s="28" t="s">
        <v>256</v>
      </c>
      <c r="B196" s="29" t="s">
        <v>27</v>
      </c>
      <c r="C196" s="29" t="s">
        <v>21</v>
      </c>
      <c r="D196" s="29">
        <v>4137.1899999999996</v>
      </c>
      <c r="E196" s="29">
        <v>0.49</v>
      </c>
      <c r="F196" s="29">
        <v>9</v>
      </c>
      <c r="G196" s="30">
        <v>45629</v>
      </c>
      <c r="H196" s="30">
        <v>45632</v>
      </c>
      <c r="I196" s="29" t="s">
        <v>16</v>
      </c>
      <c r="J196" s="29" t="s">
        <v>17</v>
      </c>
      <c r="K196" s="29">
        <v>664.13</v>
      </c>
      <c r="L196" s="28" t="s">
        <v>84</v>
      </c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</row>
    <row r="197" spans="1:24" ht="14.25" customHeight="1">
      <c r="A197" s="28" t="s">
        <v>257</v>
      </c>
      <c r="B197" s="29" t="s">
        <v>35</v>
      </c>
      <c r="C197" s="29" t="s">
        <v>52</v>
      </c>
      <c r="D197" s="29">
        <v>982.95</v>
      </c>
      <c r="E197" s="29">
        <v>0.2</v>
      </c>
      <c r="F197" s="29">
        <v>5</v>
      </c>
      <c r="G197" s="30">
        <v>44969</v>
      </c>
      <c r="H197" s="30">
        <v>44973</v>
      </c>
      <c r="I197" s="29" t="s">
        <v>22</v>
      </c>
      <c r="J197" s="29" t="s">
        <v>29</v>
      </c>
      <c r="K197" s="29">
        <v>242.2</v>
      </c>
      <c r="L197" s="28" t="s">
        <v>54</v>
      </c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</row>
    <row r="198" spans="1:24" ht="14.25" customHeight="1">
      <c r="A198" s="28" t="s">
        <v>258</v>
      </c>
      <c r="B198" s="29" t="s">
        <v>14</v>
      </c>
      <c r="C198" s="29" t="s">
        <v>15</v>
      </c>
      <c r="D198" s="29">
        <v>1993.89</v>
      </c>
      <c r="E198" s="29">
        <v>0.17</v>
      </c>
      <c r="F198" s="29">
        <v>2</v>
      </c>
      <c r="G198" s="30">
        <v>45176</v>
      </c>
      <c r="H198" s="30">
        <v>45182</v>
      </c>
      <c r="I198" s="29" t="s">
        <v>16</v>
      </c>
      <c r="J198" s="29" t="s">
        <v>17</v>
      </c>
      <c r="K198" s="29">
        <v>508.95</v>
      </c>
      <c r="L198" s="28" t="s">
        <v>70</v>
      </c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</row>
    <row r="199" spans="1:24" ht="14.25" customHeight="1">
      <c r="A199" s="28" t="s">
        <v>259</v>
      </c>
      <c r="B199" s="29" t="s">
        <v>20</v>
      </c>
      <c r="C199" s="29" t="s">
        <v>28</v>
      </c>
      <c r="D199" s="29">
        <v>1266.33</v>
      </c>
      <c r="E199" s="29">
        <v>0.05</v>
      </c>
      <c r="F199" s="29">
        <v>1</v>
      </c>
      <c r="G199" s="30">
        <v>45123</v>
      </c>
      <c r="H199" s="30">
        <v>45127</v>
      </c>
      <c r="I199" s="29" t="s">
        <v>42</v>
      </c>
      <c r="J199" s="29" t="s">
        <v>23</v>
      </c>
      <c r="K199" s="29">
        <v>350.09</v>
      </c>
      <c r="L199" s="28" t="s">
        <v>25</v>
      </c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</row>
    <row r="200" spans="1:24" ht="14.25" customHeight="1">
      <c r="A200" s="28" t="s">
        <v>260</v>
      </c>
      <c r="B200" s="29" t="s">
        <v>27</v>
      </c>
      <c r="C200" s="29" t="s">
        <v>15</v>
      </c>
      <c r="D200" s="29">
        <v>4203.78</v>
      </c>
      <c r="E200" s="29">
        <v>0.38</v>
      </c>
      <c r="F200" s="29">
        <v>2</v>
      </c>
      <c r="G200" s="30">
        <v>45129</v>
      </c>
      <c r="H200" s="30">
        <v>45135</v>
      </c>
      <c r="I200" s="29" t="s">
        <v>22</v>
      </c>
      <c r="J200" s="29" t="s">
        <v>29</v>
      </c>
      <c r="K200" s="29">
        <v>451.8</v>
      </c>
      <c r="L200" s="28" t="s">
        <v>36</v>
      </c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</row>
    <row r="201" spans="1:24" ht="14.25" customHeight="1">
      <c r="A201" s="28" t="s">
        <v>261</v>
      </c>
      <c r="B201" s="29" t="s">
        <v>35</v>
      </c>
      <c r="C201" s="29" t="s">
        <v>15</v>
      </c>
      <c r="D201" s="29">
        <v>4305.8500000000004</v>
      </c>
      <c r="E201" s="29">
        <v>0.22</v>
      </c>
      <c r="F201" s="29">
        <v>8</v>
      </c>
      <c r="G201" s="30">
        <v>45115</v>
      </c>
      <c r="H201" s="30">
        <v>45117</v>
      </c>
      <c r="I201" s="29" t="s">
        <v>42</v>
      </c>
      <c r="J201" s="29" t="s">
        <v>23</v>
      </c>
      <c r="K201" s="29">
        <v>1195.98</v>
      </c>
      <c r="L201" s="28" t="s">
        <v>56</v>
      </c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</row>
    <row r="202" spans="1:24" ht="14.25" customHeight="1">
      <c r="A202" s="28" t="s">
        <v>262</v>
      </c>
      <c r="B202" s="29" t="s">
        <v>14</v>
      </c>
      <c r="C202" s="29" t="s">
        <v>52</v>
      </c>
      <c r="D202" s="29">
        <v>1922.94</v>
      </c>
      <c r="E202" s="29">
        <v>0.32</v>
      </c>
      <c r="F202" s="29">
        <v>1</v>
      </c>
      <c r="G202" s="30">
        <v>45399</v>
      </c>
      <c r="H202" s="30">
        <v>45406</v>
      </c>
      <c r="I202" s="29" t="s">
        <v>22</v>
      </c>
      <c r="J202" s="29" t="s">
        <v>29</v>
      </c>
      <c r="K202" s="29">
        <v>235.46</v>
      </c>
      <c r="L202" s="28" t="s">
        <v>87</v>
      </c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</row>
    <row r="203" spans="1:24" ht="14.25" customHeight="1">
      <c r="A203" s="28" t="s">
        <v>263</v>
      </c>
      <c r="B203" s="29" t="s">
        <v>20</v>
      </c>
      <c r="C203" s="29" t="s">
        <v>28</v>
      </c>
      <c r="D203" s="29">
        <v>1606.15</v>
      </c>
      <c r="E203" s="29">
        <v>0.25</v>
      </c>
      <c r="F203" s="29">
        <v>6</v>
      </c>
      <c r="G203" s="30">
        <v>45199</v>
      </c>
      <c r="H203" s="30">
        <v>45203</v>
      </c>
      <c r="I203" s="29" t="s">
        <v>22</v>
      </c>
      <c r="J203" s="29" t="s">
        <v>23</v>
      </c>
      <c r="K203" s="29">
        <v>432.87</v>
      </c>
      <c r="L203" s="28" t="s">
        <v>118</v>
      </c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</row>
    <row r="204" spans="1:24" ht="14.25" customHeight="1">
      <c r="A204" s="28" t="s">
        <v>264</v>
      </c>
      <c r="B204" s="29" t="s">
        <v>27</v>
      </c>
      <c r="C204" s="29" t="s">
        <v>47</v>
      </c>
      <c r="D204" s="29">
        <v>3890.47</v>
      </c>
      <c r="E204" s="29">
        <v>0.09</v>
      </c>
      <c r="F204" s="29">
        <v>5</v>
      </c>
      <c r="G204" s="30">
        <v>45616</v>
      </c>
      <c r="H204" s="30">
        <v>45621</v>
      </c>
      <c r="I204" s="29" t="s">
        <v>22</v>
      </c>
      <c r="J204" s="29" t="s">
        <v>29</v>
      </c>
      <c r="K204" s="29">
        <v>1028.18</v>
      </c>
      <c r="L204" s="28" t="s">
        <v>24</v>
      </c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</row>
    <row r="205" spans="1:24" ht="14.25" customHeight="1">
      <c r="A205" s="28" t="s">
        <v>265</v>
      </c>
      <c r="B205" s="29" t="s">
        <v>35</v>
      </c>
      <c r="C205" s="29" t="s">
        <v>28</v>
      </c>
      <c r="D205" s="29">
        <v>4404.71</v>
      </c>
      <c r="E205" s="29">
        <v>0.09</v>
      </c>
      <c r="F205" s="29">
        <v>9</v>
      </c>
      <c r="G205" s="30">
        <v>45016</v>
      </c>
      <c r="H205" s="30">
        <v>45017</v>
      </c>
      <c r="I205" s="29" t="s">
        <v>22</v>
      </c>
      <c r="J205" s="29" t="s">
        <v>29</v>
      </c>
      <c r="K205" s="29">
        <v>721</v>
      </c>
      <c r="L205" s="28" t="s">
        <v>70</v>
      </c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</row>
    <row r="206" spans="1:24" ht="14.25" customHeight="1">
      <c r="A206" s="28" t="s">
        <v>266</v>
      </c>
      <c r="B206" s="29" t="s">
        <v>14</v>
      </c>
      <c r="C206" s="29" t="s">
        <v>47</v>
      </c>
      <c r="D206" s="29">
        <v>3157.7</v>
      </c>
      <c r="E206" s="29">
        <v>0.47</v>
      </c>
      <c r="F206" s="29">
        <v>4</v>
      </c>
      <c r="G206" s="30">
        <v>45196</v>
      </c>
      <c r="H206" s="30">
        <v>45203</v>
      </c>
      <c r="I206" s="29" t="s">
        <v>42</v>
      </c>
      <c r="J206" s="29" t="s">
        <v>17</v>
      </c>
      <c r="K206" s="29">
        <v>788.19</v>
      </c>
      <c r="L206" s="28" t="s">
        <v>84</v>
      </c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</row>
    <row r="207" spans="1:24" ht="14.25" customHeight="1">
      <c r="A207" s="28" t="s">
        <v>267</v>
      </c>
      <c r="B207" s="29" t="s">
        <v>20</v>
      </c>
      <c r="C207" s="29" t="s">
        <v>28</v>
      </c>
      <c r="D207" s="29">
        <v>4644.28</v>
      </c>
      <c r="E207" s="29">
        <v>0.44</v>
      </c>
      <c r="F207" s="29">
        <v>5</v>
      </c>
      <c r="G207" s="30">
        <v>45477</v>
      </c>
      <c r="H207" s="30">
        <v>45481</v>
      </c>
      <c r="I207" s="29" t="s">
        <v>42</v>
      </c>
      <c r="J207" s="29" t="s">
        <v>29</v>
      </c>
      <c r="K207" s="29">
        <v>1095.22</v>
      </c>
      <c r="L207" s="28" t="s">
        <v>82</v>
      </c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</row>
    <row r="208" spans="1:24" ht="14.25" customHeight="1">
      <c r="A208" s="28" t="s">
        <v>268</v>
      </c>
      <c r="B208" s="29" t="s">
        <v>27</v>
      </c>
      <c r="C208" s="29" t="s">
        <v>21</v>
      </c>
      <c r="D208" s="29">
        <v>1976.91</v>
      </c>
      <c r="E208" s="29">
        <v>0.31</v>
      </c>
      <c r="F208" s="29">
        <v>5</v>
      </c>
      <c r="G208" s="30">
        <v>45046</v>
      </c>
      <c r="H208" s="30">
        <v>45051</v>
      </c>
      <c r="I208" s="29" t="s">
        <v>22</v>
      </c>
      <c r="J208" s="29" t="s">
        <v>29</v>
      </c>
      <c r="K208" s="29">
        <v>121.08</v>
      </c>
      <c r="L208" s="28" t="s">
        <v>87</v>
      </c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</row>
    <row r="209" spans="1:24" ht="14.25" customHeight="1">
      <c r="A209" s="28" t="s">
        <v>269</v>
      </c>
      <c r="B209" s="29" t="s">
        <v>35</v>
      </c>
      <c r="C209" s="29" t="s">
        <v>28</v>
      </c>
      <c r="D209" s="29">
        <v>844.24</v>
      </c>
      <c r="E209" s="29">
        <v>0</v>
      </c>
      <c r="F209" s="29">
        <v>2</v>
      </c>
      <c r="G209" s="30">
        <v>45493</v>
      </c>
      <c r="H209" s="30">
        <v>45498</v>
      </c>
      <c r="I209" s="29" t="s">
        <v>22</v>
      </c>
      <c r="J209" s="29" t="s">
        <v>23</v>
      </c>
      <c r="K209" s="29">
        <v>47.74</v>
      </c>
      <c r="L209" s="28" t="s">
        <v>63</v>
      </c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</row>
    <row r="210" spans="1:24" ht="14.25" customHeight="1">
      <c r="A210" s="28" t="s">
        <v>270</v>
      </c>
      <c r="B210" s="29" t="s">
        <v>14</v>
      </c>
      <c r="C210" s="29" t="s">
        <v>52</v>
      </c>
      <c r="D210" s="29">
        <v>980.25</v>
      </c>
      <c r="E210" s="29">
        <v>0.22</v>
      </c>
      <c r="F210" s="29">
        <v>2</v>
      </c>
      <c r="G210" s="30">
        <v>45166</v>
      </c>
      <c r="H210" s="30">
        <v>45169</v>
      </c>
      <c r="I210" s="29" t="s">
        <v>42</v>
      </c>
      <c r="J210" s="29" t="s">
        <v>23</v>
      </c>
      <c r="K210" s="29">
        <v>70.55</v>
      </c>
      <c r="L210" s="28" t="s">
        <v>54</v>
      </c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</row>
    <row r="211" spans="1:24" ht="14.25" customHeight="1">
      <c r="A211" s="28" t="s">
        <v>271</v>
      </c>
      <c r="B211" s="29" t="s">
        <v>20</v>
      </c>
      <c r="C211" s="29" t="s">
        <v>47</v>
      </c>
      <c r="D211" s="29">
        <v>3382.18</v>
      </c>
      <c r="E211" s="29">
        <v>0.27</v>
      </c>
      <c r="F211" s="29">
        <v>9</v>
      </c>
      <c r="G211" s="30">
        <v>45191</v>
      </c>
      <c r="H211" s="30">
        <v>45196</v>
      </c>
      <c r="I211" s="29" t="s">
        <v>22</v>
      </c>
      <c r="J211" s="29" t="s">
        <v>23</v>
      </c>
      <c r="K211" s="29">
        <v>970.91</v>
      </c>
      <c r="L211" s="28" t="s">
        <v>18</v>
      </c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</row>
    <row r="212" spans="1:24" ht="14.25" customHeight="1">
      <c r="A212" s="28" t="s">
        <v>272</v>
      </c>
      <c r="B212" s="29" t="s">
        <v>27</v>
      </c>
      <c r="C212" s="29" t="s">
        <v>15</v>
      </c>
      <c r="D212" s="29">
        <v>2096.88</v>
      </c>
      <c r="E212" s="29">
        <v>0.22</v>
      </c>
      <c r="F212" s="29">
        <v>3</v>
      </c>
      <c r="G212" s="30">
        <v>45117</v>
      </c>
      <c r="H212" s="30">
        <v>45120</v>
      </c>
      <c r="I212" s="29" t="s">
        <v>22</v>
      </c>
      <c r="J212" s="29" t="s">
        <v>23</v>
      </c>
      <c r="K212" s="29">
        <v>478.55</v>
      </c>
      <c r="L212" s="28" t="s">
        <v>84</v>
      </c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</row>
    <row r="213" spans="1:24" ht="14.25" customHeight="1">
      <c r="A213" s="28" t="s">
        <v>273</v>
      </c>
      <c r="B213" s="29" t="s">
        <v>35</v>
      </c>
      <c r="C213" s="29" t="s">
        <v>52</v>
      </c>
      <c r="D213" s="29">
        <v>865.94</v>
      </c>
      <c r="E213" s="29">
        <v>0.46</v>
      </c>
      <c r="F213" s="29">
        <v>6</v>
      </c>
      <c r="G213" s="30">
        <v>45209</v>
      </c>
      <c r="H213" s="30">
        <v>45214</v>
      </c>
      <c r="I213" s="29" t="s">
        <v>42</v>
      </c>
      <c r="J213" s="29" t="s">
        <v>17</v>
      </c>
      <c r="K213" s="29">
        <v>133.02000000000001</v>
      </c>
      <c r="L213" s="28" t="s">
        <v>118</v>
      </c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</row>
    <row r="214" spans="1:24" ht="14.25" customHeight="1">
      <c r="A214" s="28" t="s">
        <v>274</v>
      </c>
      <c r="B214" s="29" t="s">
        <v>14</v>
      </c>
      <c r="C214" s="29" t="s">
        <v>47</v>
      </c>
      <c r="D214" s="29">
        <v>1531.91</v>
      </c>
      <c r="E214" s="29">
        <v>0.02</v>
      </c>
      <c r="F214" s="29">
        <v>4</v>
      </c>
      <c r="G214" s="30">
        <v>45601</v>
      </c>
      <c r="H214" s="30">
        <v>45603</v>
      </c>
      <c r="I214" s="29" t="s">
        <v>42</v>
      </c>
      <c r="J214" s="29" t="s">
        <v>23</v>
      </c>
      <c r="K214" s="29">
        <v>161.16</v>
      </c>
      <c r="L214" s="28" t="s">
        <v>82</v>
      </c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</row>
    <row r="215" spans="1:24" ht="14.25" customHeight="1">
      <c r="A215" s="28" t="s">
        <v>275</v>
      </c>
      <c r="B215" s="29" t="s">
        <v>20</v>
      </c>
      <c r="C215" s="29" t="s">
        <v>47</v>
      </c>
      <c r="D215" s="29">
        <v>2699.96</v>
      </c>
      <c r="E215" s="29">
        <v>0.33</v>
      </c>
      <c r="F215" s="29">
        <v>4</v>
      </c>
      <c r="G215" s="30">
        <v>45390</v>
      </c>
      <c r="H215" s="30">
        <v>45392</v>
      </c>
      <c r="I215" s="29" t="s">
        <v>42</v>
      </c>
      <c r="J215" s="29" t="s">
        <v>17</v>
      </c>
      <c r="K215" s="29">
        <v>774.75</v>
      </c>
      <c r="L215" s="28" t="s">
        <v>59</v>
      </c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</row>
    <row r="216" spans="1:24" ht="14.25" customHeight="1">
      <c r="A216" s="28" t="s">
        <v>276</v>
      </c>
      <c r="B216" s="29" t="s">
        <v>27</v>
      </c>
      <c r="C216" s="29" t="s">
        <v>15</v>
      </c>
      <c r="D216" s="29">
        <v>695.08</v>
      </c>
      <c r="E216" s="29">
        <v>0.16</v>
      </c>
      <c r="F216" s="29">
        <v>5</v>
      </c>
      <c r="G216" s="30">
        <v>45652</v>
      </c>
      <c r="H216" s="30">
        <v>45654</v>
      </c>
      <c r="I216" s="29" t="s">
        <v>16</v>
      </c>
      <c r="J216" s="29" t="s">
        <v>17</v>
      </c>
      <c r="K216" s="29">
        <v>77.209999999999994</v>
      </c>
      <c r="L216" s="28" t="s">
        <v>63</v>
      </c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</row>
    <row r="217" spans="1:24" ht="14.25" customHeight="1">
      <c r="A217" s="28" t="s">
        <v>277</v>
      </c>
      <c r="B217" s="29" t="s">
        <v>35</v>
      </c>
      <c r="C217" s="29" t="s">
        <v>21</v>
      </c>
      <c r="D217" s="29">
        <v>116.87</v>
      </c>
      <c r="E217" s="29">
        <v>0.28000000000000003</v>
      </c>
      <c r="F217" s="29">
        <v>5</v>
      </c>
      <c r="G217" s="30">
        <v>45016</v>
      </c>
      <c r="H217" s="30">
        <v>45018</v>
      </c>
      <c r="I217" s="29" t="s">
        <v>22</v>
      </c>
      <c r="J217" s="29" t="s">
        <v>23</v>
      </c>
      <c r="K217" s="29">
        <v>21.73</v>
      </c>
      <c r="L217" s="28" t="s">
        <v>24</v>
      </c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</row>
    <row r="218" spans="1:24" ht="14.25" customHeight="1">
      <c r="A218" s="28" t="s">
        <v>278</v>
      </c>
      <c r="B218" s="29" t="s">
        <v>14</v>
      </c>
      <c r="C218" s="29" t="s">
        <v>52</v>
      </c>
      <c r="D218" s="29">
        <v>4594.76</v>
      </c>
      <c r="E218" s="29">
        <v>0.33</v>
      </c>
      <c r="F218" s="29">
        <v>7</v>
      </c>
      <c r="G218" s="30">
        <v>45285</v>
      </c>
      <c r="H218" s="30">
        <v>45291</v>
      </c>
      <c r="I218" s="29" t="s">
        <v>42</v>
      </c>
      <c r="J218" s="29" t="s">
        <v>23</v>
      </c>
      <c r="K218" s="29">
        <v>509.07</v>
      </c>
      <c r="L218" s="28" t="s">
        <v>74</v>
      </c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</row>
    <row r="219" spans="1:24" ht="14.25" customHeight="1">
      <c r="A219" s="28" t="s">
        <v>279</v>
      </c>
      <c r="B219" s="29" t="s">
        <v>20</v>
      </c>
      <c r="C219" s="29" t="s">
        <v>15</v>
      </c>
      <c r="D219" s="29">
        <v>1593.82</v>
      </c>
      <c r="E219" s="29">
        <v>0.22</v>
      </c>
      <c r="F219" s="29">
        <v>7</v>
      </c>
      <c r="G219" s="30">
        <v>45306</v>
      </c>
      <c r="H219" s="30">
        <v>45308</v>
      </c>
      <c r="I219" s="29" t="s">
        <v>22</v>
      </c>
      <c r="J219" s="29" t="s">
        <v>23</v>
      </c>
      <c r="K219" s="29">
        <v>369.28</v>
      </c>
      <c r="L219" s="28" t="s">
        <v>54</v>
      </c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</row>
    <row r="220" spans="1:24" ht="14.25" customHeight="1">
      <c r="A220" s="28" t="s">
        <v>280</v>
      </c>
      <c r="B220" s="29" t="s">
        <v>27</v>
      </c>
      <c r="C220" s="29" t="s">
        <v>15</v>
      </c>
      <c r="D220" s="29">
        <v>1185.3399999999999</v>
      </c>
      <c r="E220" s="29">
        <v>7.0000000000000007E-2</v>
      </c>
      <c r="F220" s="29">
        <v>1</v>
      </c>
      <c r="G220" s="30">
        <v>45093</v>
      </c>
      <c r="H220" s="30">
        <v>45100</v>
      </c>
      <c r="I220" s="29" t="s">
        <v>16</v>
      </c>
      <c r="J220" s="29" t="s">
        <v>29</v>
      </c>
      <c r="K220" s="29">
        <v>110.39</v>
      </c>
      <c r="L220" s="28" t="s">
        <v>77</v>
      </c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</row>
    <row r="221" spans="1:24" ht="14.25" customHeight="1">
      <c r="A221" s="28" t="s">
        <v>281</v>
      </c>
      <c r="B221" s="29" t="s">
        <v>35</v>
      </c>
      <c r="C221" s="29" t="s">
        <v>21</v>
      </c>
      <c r="D221" s="29">
        <v>3522.56</v>
      </c>
      <c r="E221" s="29">
        <v>0.26</v>
      </c>
      <c r="F221" s="29">
        <v>6</v>
      </c>
      <c r="G221" s="30">
        <v>45618</v>
      </c>
      <c r="H221" s="30">
        <v>45625</v>
      </c>
      <c r="I221" s="29" t="s">
        <v>42</v>
      </c>
      <c r="J221" s="29" t="s">
        <v>23</v>
      </c>
      <c r="K221" s="29">
        <v>700.49</v>
      </c>
      <c r="L221" s="28" t="s">
        <v>59</v>
      </c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</row>
    <row r="222" spans="1:24" ht="14.25" customHeight="1">
      <c r="A222" s="28" t="s">
        <v>282</v>
      </c>
      <c r="B222" s="29" t="s">
        <v>14</v>
      </c>
      <c r="C222" s="29" t="s">
        <v>52</v>
      </c>
      <c r="D222" s="29">
        <v>4281.67</v>
      </c>
      <c r="E222" s="29">
        <v>0.47</v>
      </c>
      <c r="F222" s="29">
        <v>4</v>
      </c>
      <c r="G222" s="30">
        <v>45542</v>
      </c>
      <c r="H222" s="30">
        <v>45547</v>
      </c>
      <c r="I222" s="29" t="s">
        <v>42</v>
      </c>
      <c r="J222" s="29" t="s">
        <v>23</v>
      </c>
      <c r="K222" s="29">
        <v>909.46</v>
      </c>
      <c r="L222" s="28" t="s">
        <v>87</v>
      </c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</row>
    <row r="223" spans="1:24" ht="14.25" customHeight="1">
      <c r="A223" s="28" t="s">
        <v>283</v>
      </c>
      <c r="B223" s="29" t="s">
        <v>20</v>
      </c>
      <c r="C223" s="29" t="s">
        <v>15</v>
      </c>
      <c r="D223" s="29">
        <v>3198.17</v>
      </c>
      <c r="E223" s="29">
        <v>0.27</v>
      </c>
      <c r="F223" s="29">
        <v>2</v>
      </c>
      <c r="G223" s="30">
        <v>45496</v>
      </c>
      <c r="H223" s="30">
        <v>45500</v>
      </c>
      <c r="I223" s="29" t="s">
        <v>22</v>
      </c>
      <c r="J223" s="29" t="s">
        <v>17</v>
      </c>
      <c r="K223" s="29">
        <v>930.63</v>
      </c>
      <c r="L223" s="28" t="s">
        <v>36</v>
      </c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</row>
    <row r="224" spans="1:24" ht="14.25" customHeight="1">
      <c r="A224" s="28" t="s">
        <v>284</v>
      </c>
      <c r="B224" s="29" t="s">
        <v>27</v>
      </c>
      <c r="C224" s="29" t="s">
        <v>21</v>
      </c>
      <c r="D224" s="29">
        <v>1346.97</v>
      </c>
      <c r="E224" s="29">
        <v>0.06</v>
      </c>
      <c r="F224" s="29">
        <v>6</v>
      </c>
      <c r="G224" s="30">
        <v>45130</v>
      </c>
      <c r="H224" s="30">
        <v>45134</v>
      </c>
      <c r="I224" s="29" t="s">
        <v>22</v>
      </c>
      <c r="J224" s="29" t="s">
        <v>23</v>
      </c>
      <c r="K224" s="29">
        <v>270.37</v>
      </c>
      <c r="L224" s="28" t="s">
        <v>74</v>
      </c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</row>
    <row r="225" spans="1:24" ht="14.25" customHeight="1">
      <c r="A225" s="28" t="s">
        <v>285</v>
      </c>
      <c r="B225" s="29" t="s">
        <v>35</v>
      </c>
      <c r="C225" s="29" t="s">
        <v>52</v>
      </c>
      <c r="D225" s="29">
        <v>4322.0200000000004</v>
      </c>
      <c r="E225" s="29">
        <v>0.41</v>
      </c>
      <c r="F225" s="29">
        <v>7</v>
      </c>
      <c r="G225" s="30">
        <v>45052</v>
      </c>
      <c r="H225" s="30">
        <v>45056</v>
      </c>
      <c r="I225" s="29" t="s">
        <v>42</v>
      </c>
      <c r="J225" s="29" t="s">
        <v>29</v>
      </c>
      <c r="K225" s="29">
        <v>740.19</v>
      </c>
      <c r="L225" s="28" t="s">
        <v>24</v>
      </c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</row>
    <row r="226" spans="1:24" ht="14.25" customHeight="1">
      <c r="A226" s="28" t="s">
        <v>286</v>
      </c>
      <c r="B226" s="29" t="s">
        <v>14</v>
      </c>
      <c r="C226" s="29" t="s">
        <v>28</v>
      </c>
      <c r="D226" s="29">
        <v>2601.09</v>
      </c>
      <c r="E226" s="29">
        <v>0.11</v>
      </c>
      <c r="F226" s="29">
        <v>2</v>
      </c>
      <c r="G226" s="30">
        <v>45391</v>
      </c>
      <c r="H226" s="30">
        <v>45393</v>
      </c>
      <c r="I226" s="29" t="s">
        <v>42</v>
      </c>
      <c r="J226" s="29" t="s">
        <v>23</v>
      </c>
      <c r="K226" s="29">
        <v>385.44</v>
      </c>
      <c r="L226" s="28" t="s">
        <v>56</v>
      </c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</row>
    <row r="227" spans="1:24" ht="14.25" customHeight="1">
      <c r="A227" s="28" t="s">
        <v>287</v>
      </c>
      <c r="B227" s="29" t="s">
        <v>20</v>
      </c>
      <c r="C227" s="29" t="s">
        <v>47</v>
      </c>
      <c r="D227" s="29">
        <v>1967.83</v>
      </c>
      <c r="E227" s="29">
        <v>0.19</v>
      </c>
      <c r="F227" s="29">
        <v>2</v>
      </c>
      <c r="G227" s="30">
        <v>45271</v>
      </c>
      <c r="H227" s="30">
        <v>45273</v>
      </c>
      <c r="I227" s="29" t="s">
        <v>22</v>
      </c>
      <c r="J227" s="29" t="s">
        <v>23</v>
      </c>
      <c r="K227" s="29">
        <v>150.44999999999999</v>
      </c>
      <c r="L227" s="28" t="s">
        <v>36</v>
      </c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</row>
    <row r="228" spans="1:24" ht="14.25" customHeight="1">
      <c r="A228" s="28" t="s">
        <v>288</v>
      </c>
      <c r="B228" s="29" t="s">
        <v>27</v>
      </c>
      <c r="C228" s="29" t="s">
        <v>21</v>
      </c>
      <c r="D228" s="29">
        <v>3063.16</v>
      </c>
      <c r="E228" s="29">
        <v>0.21</v>
      </c>
      <c r="F228" s="29">
        <v>7</v>
      </c>
      <c r="G228" s="30">
        <v>45595</v>
      </c>
      <c r="H228" s="30">
        <v>45600</v>
      </c>
      <c r="I228" s="29" t="s">
        <v>22</v>
      </c>
      <c r="J228" s="29" t="s">
        <v>17</v>
      </c>
      <c r="K228" s="29">
        <v>706.04</v>
      </c>
      <c r="L228" s="28" t="s">
        <v>56</v>
      </c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</row>
    <row r="229" spans="1:24" ht="14.25" customHeight="1">
      <c r="A229" s="28" t="s">
        <v>289</v>
      </c>
      <c r="B229" s="29" t="s">
        <v>35</v>
      </c>
      <c r="C229" s="29" t="s">
        <v>47</v>
      </c>
      <c r="D229" s="29">
        <v>3533</v>
      </c>
      <c r="E229" s="29">
        <v>0.17</v>
      </c>
      <c r="F229" s="29">
        <v>9</v>
      </c>
      <c r="G229" s="30">
        <v>45352</v>
      </c>
      <c r="H229" s="30">
        <v>45359</v>
      </c>
      <c r="I229" s="29" t="s">
        <v>42</v>
      </c>
      <c r="J229" s="29" t="s">
        <v>29</v>
      </c>
      <c r="K229" s="29">
        <v>394.98</v>
      </c>
      <c r="L229" s="28" t="s">
        <v>113</v>
      </c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</row>
    <row r="230" spans="1:24" ht="14.25" customHeight="1">
      <c r="A230" s="28" t="s">
        <v>290</v>
      </c>
      <c r="B230" s="29" t="s">
        <v>14</v>
      </c>
      <c r="C230" s="29" t="s">
        <v>28</v>
      </c>
      <c r="D230" s="29">
        <v>3009.77</v>
      </c>
      <c r="E230" s="29">
        <v>0.2</v>
      </c>
      <c r="F230" s="29">
        <v>3</v>
      </c>
      <c r="G230" s="30">
        <v>45466</v>
      </c>
      <c r="H230" s="30">
        <v>45472</v>
      </c>
      <c r="I230" s="29" t="s">
        <v>16</v>
      </c>
      <c r="J230" s="29" t="s">
        <v>29</v>
      </c>
      <c r="K230" s="29">
        <v>385.71</v>
      </c>
      <c r="L230" s="28" t="s">
        <v>82</v>
      </c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</row>
    <row r="231" spans="1:24" ht="14.25" customHeight="1">
      <c r="A231" s="28" t="s">
        <v>291</v>
      </c>
      <c r="B231" s="29" t="s">
        <v>20</v>
      </c>
      <c r="C231" s="29" t="s">
        <v>15</v>
      </c>
      <c r="D231" s="29">
        <v>4609.2</v>
      </c>
      <c r="E231" s="29">
        <v>0.4</v>
      </c>
      <c r="F231" s="29">
        <v>3</v>
      </c>
      <c r="G231" s="30">
        <v>45137</v>
      </c>
      <c r="H231" s="30">
        <v>45144</v>
      </c>
      <c r="I231" s="29" t="s">
        <v>22</v>
      </c>
      <c r="J231" s="29" t="s">
        <v>23</v>
      </c>
      <c r="K231" s="29">
        <v>244.12</v>
      </c>
      <c r="L231" s="28" t="s">
        <v>63</v>
      </c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</row>
    <row r="232" spans="1:24" ht="14.25" customHeight="1">
      <c r="A232" s="28" t="s">
        <v>292</v>
      </c>
      <c r="B232" s="29" t="s">
        <v>27</v>
      </c>
      <c r="C232" s="29" t="s">
        <v>15</v>
      </c>
      <c r="D232" s="29">
        <v>3177.29</v>
      </c>
      <c r="E232" s="29">
        <v>0.11</v>
      </c>
      <c r="F232" s="29">
        <v>8</v>
      </c>
      <c r="G232" s="30">
        <v>45192</v>
      </c>
      <c r="H232" s="30">
        <v>45196</v>
      </c>
      <c r="I232" s="29" t="s">
        <v>22</v>
      </c>
      <c r="J232" s="29" t="s">
        <v>29</v>
      </c>
      <c r="K232" s="29">
        <v>682.33</v>
      </c>
      <c r="L232" s="28" t="s">
        <v>113</v>
      </c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</row>
    <row r="233" spans="1:24" ht="14.25" customHeight="1">
      <c r="A233" s="28" t="s">
        <v>293</v>
      </c>
      <c r="B233" s="29" t="s">
        <v>35</v>
      </c>
      <c r="C233" s="29" t="s">
        <v>52</v>
      </c>
      <c r="D233" s="29">
        <v>4405.05</v>
      </c>
      <c r="E233" s="29">
        <v>0.24</v>
      </c>
      <c r="F233" s="29">
        <v>2</v>
      </c>
      <c r="G233" s="30">
        <v>45193</v>
      </c>
      <c r="H233" s="30">
        <v>45200</v>
      </c>
      <c r="I233" s="29" t="s">
        <v>22</v>
      </c>
      <c r="J233" s="29" t="s">
        <v>23</v>
      </c>
      <c r="K233" s="29">
        <v>1055.96</v>
      </c>
      <c r="L233" s="28" t="s">
        <v>118</v>
      </c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</row>
    <row r="234" spans="1:24" ht="14.25" customHeight="1">
      <c r="A234" s="28" t="s">
        <v>294</v>
      </c>
      <c r="B234" s="29" t="s">
        <v>14</v>
      </c>
      <c r="C234" s="29" t="s">
        <v>21</v>
      </c>
      <c r="D234" s="29">
        <v>2976.1</v>
      </c>
      <c r="E234" s="29">
        <v>0.01</v>
      </c>
      <c r="F234" s="29">
        <v>9</v>
      </c>
      <c r="G234" s="30">
        <v>45180</v>
      </c>
      <c r="H234" s="30">
        <v>45187</v>
      </c>
      <c r="I234" s="29" t="s">
        <v>42</v>
      </c>
      <c r="J234" s="29" t="s">
        <v>17</v>
      </c>
      <c r="K234" s="29">
        <v>219.01</v>
      </c>
      <c r="L234" s="28" t="s">
        <v>54</v>
      </c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</row>
    <row r="235" spans="1:24" ht="14.25" customHeight="1">
      <c r="A235" s="28" t="s">
        <v>295</v>
      </c>
      <c r="B235" s="29" t="s">
        <v>20</v>
      </c>
      <c r="C235" s="29" t="s">
        <v>21</v>
      </c>
      <c r="D235" s="29">
        <v>1715.43</v>
      </c>
      <c r="E235" s="29">
        <v>0.25</v>
      </c>
      <c r="F235" s="29">
        <v>7</v>
      </c>
      <c r="G235" s="30">
        <v>45114</v>
      </c>
      <c r="H235" s="30">
        <v>45121</v>
      </c>
      <c r="I235" s="29" t="s">
        <v>42</v>
      </c>
      <c r="J235" s="29" t="s">
        <v>29</v>
      </c>
      <c r="K235" s="29">
        <v>144.54</v>
      </c>
      <c r="L235" s="28" t="s">
        <v>113</v>
      </c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</row>
    <row r="236" spans="1:24" ht="14.25" customHeight="1">
      <c r="A236" s="28" t="s">
        <v>296</v>
      </c>
      <c r="B236" s="29" t="s">
        <v>27</v>
      </c>
      <c r="C236" s="29" t="s">
        <v>52</v>
      </c>
      <c r="D236" s="29">
        <v>2708.25</v>
      </c>
      <c r="E236" s="29">
        <v>0.06</v>
      </c>
      <c r="F236" s="29">
        <v>8</v>
      </c>
      <c r="G236" s="30">
        <v>44956</v>
      </c>
      <c r="H236" s="30">
        <v>44962</v>
      </c>
      <c r="I236" s="29" t="s">
        <v>42</v>
      </c>
      <c r="J236" s="29" t="s">
        <v>23</v>
      </c>
      <c r="K236" s="29">
        <v>692.61</v>
      </c>
      <c r="L236" s="28" t="s">
        <v>77</v>
      </c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</row>
    <row r="237" spans="1:24" ht="14.25" customHeight="1">
      <c r="A237" s="28" t="s">
        <v>297</v>
      </c>
      <c r="B237" s="29" t="s">
        <v>35</v>
      </c>
      <c r="C237" s="29" t="s">
        <v>47</v>
      </c>
      <c r="D237" s="29">
        <v>523.04999999999995</v>
      </c>
      <c r="E237" s="29">
        <v>0.14000000000000001</v>
      </c>
      <c r="F237" s="29">
        <v>9</v>
      </c>
      <c r="G237" s="30">
        <v>45231</v>
      </c>
      <c r="H237" s="30">
        <v>45234</v>
      </c>
      <c r="I237" s="29" t="s">
        <v>22</v>
      </c>
      <c r="J237" s="29" t="s">
        <v>17</v>
      </c>
      <c r="K237" s="29">
        <v>122.23</v>
      </c>
      <c r="L237" s="28" t="s">
        <v>25</v>
      </c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</row>
    <row r="238" spans="1:24" ht="14.25" customHeight="1">
      <c r="A238" s="28" t="s">
        <v>298</v>
      </c>
      <c r="B238" s="29" t="s">
        <v>14</v>
      </c>
      <c r="C238" s="29" t="s">
        <v>15</v>
      </c>
      <c r="D238" s="29">
        <v>1227.8599999999999</v>
      </c>
      <c r="E238" s="29">
        <v>0.16</v>
      </c>
      <c r="F238" s="29">
        <v>3</v>
      </c>
      <c r="G238" s="30">
        <v>45379</v>
      </c>
      <c r="H238" s="30">
        <v>45381</v>
      </c>
      <c r="I238" s="29" t="s">
        <v>22</v>
      </c>
      <c r="J238" s="29" t="s">
        <v>17</v>
      </c>
      <c r="K238" s="29">
        <v>99.39</v>
      </c>
      <c r="L238" s="28" t="s">
        <v>18</v>
      </c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</row>
    <row r="239" spans="1:24" ht="14.25" customHeight="1">
      <c r="A239" s="28" t="s">
        <v>299</v>
      </c>
      <c r="B239" s="29" t="s">
        <v>20</v>
      </c>
      <c r="C239" s="29" t="s">
        <v>15</v>
      </c>
      <c r="D239" s="29">
        <v>3854.54</v>
      </c>
      <c r="E239" s="29">
        <v>0.04</v>
      </c>
      <c r="F239" s="29">
        <v>6</v>
      </c>
      <c r="G239" s="30">
        <v>45626</v>
      </c>
      <c r="H239" s="30">
        <v>45627</v>
      </c>
      <c r="I239" s="29" t="s">
        <v>16</v>
      </c>
      <c r="J239" s="29" t="s">
        <v>23</v>
      </c>
      <c r="K239" s="29">
        <v>600.08000000000004</v>
      </c>
      <c r="L239" s="28" t="s">
        <v>77</v>
      </c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</row>
    <row r="240" spans="1:24" ht="14.25" customHeight="1">
      <c r="A240" s="28" t="s">
        <v>300</v>
      </c>
      <c r="B240" s="29" t="s">
        <v>27</v>
      </c>
      <c r="C240" s="29" t="s">
        <v>21</v>
      </c>
      <c r="D240" s="29">
        <v>3341.23</v>
      </c>
      <c r="E240" s="29">
        <v>0.18</v>
      </c>
      <c r="F240" s="29">
        <v>8</v>
      </c>
      <c r="G240" s="30">
        <v>45625</v>
      </c>
      <c r="H240" s="30">
        <v>45626</v>
      </c>
      <c r="I240" s="29" t="s">
        <v>42</v>
      </c>
      <c r="J240" s="29" t="s">
        <v>17</v>
      </c>
      <c r="K240" s="29">
        <v>427.47</v>
      </c>
      <c r="L240" s="28" t="s">
        <v>84</v>
      </c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</row>
    <row r="241" spans="1:24" ht="14.25" customHeight="1">
      <c r="A241" s="28" t="s">
        <v>301</v>
      </c>
      <c r="B241" s="29" t="s">
        <v>35</v>
      </c>
      <c r="C241" s="29" t="s">
        <v>21</v>
      </c>
      <c r="D241" s="29">
        <v>915.94</v>
      </c>
      <c r="E241" s="29">
        <v>0.25</v>
      </c>
      <c r="F241" s="29">
        <v>1</v>
      </c>
      <c r="G241" s="30">
        <v>45571</v>
      </c>
      <c r="H241" s="30">
        <v>45572</v>
      </c>
      <c r="I241" s="29" t="s">
        <v>42</v>
      </c>
      <c r="J241" s="29" t="s">
        <v>17</v>
      </c>
      <c r="K241" s="29">
        <v>83.32</v>
      </c>
      <c r="L241" s="28" t="s">
        <v>84</v>
      </c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</row>
    <row r="242" spans="1:24" ht="14.25" customHeight="1">
      <c r="A242" s="28" t="s">
        <v>302</v>
      </c>
      <c r="B242" s="29" t="s">
        <v>14</v>
      </c>
      <c r="C242" s="29" t="s">
        <v>52</v>
      </c>
      <c r="D242" s="29">
        <v>2246.27</v>
      </c>
      <c r="E242" s="29">
        <v>0.22</v>
      </c>
      <c r="F242" s="29">
        <v>6</v>
      </c>
      <c r="G242" s="30">
        <v>44956</v>
      </c>
      <c r="H242" s="30">
        <v>44963</v>
      </c>
      <c r="I242" s="29" t="s">
        <v>22</v>
      </c>
      <c r="J242" s="29" t="s">
        <v>23</v>
      </c>
      <c r="K242" s="29">
        <v>358.48</v>
      </c>
      <c r="L242" s="28" t="s">
        <v>74</v>
      </c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</row>
    <row r="243" spans="1:24" ht="14.25" customHeight="1">
      <c r="A243" s="28" t="s">
        <v>303</v>
      </c>
      <c r="B243" s="29" t="s">
        <v>20</v>
      </c>
      <c r="C243" s="29" t="s">
        <v>28</v>
      </c>
      <c r="D243" s="29">
        <v>795.76</v>
      </c>
      <c r="E243" s="29">
        <v>0.14000000000000001</v>
      </c>
      <c r="F243" s="29">
        <v>3</v>
      </c>
      <c r="G243" s="30">
        <v>45087</v>
      </c>
      <c r="H243" s="30">
        <v>45092</v>
      </c>
      <c r="I243" s="29" t="s">
        <v>22</v>
      </c>
      <c r="J243" s="29" t="s">
        <v>29</v>
      </c>
      <c r="K243" s="29">
        <v>209.28</v>
      </c>
      <c r="L243" s="28" t="s">
        <v>54</v>
      </c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</row>
    <row r="244" spans="1:24" ht="14.25" customHeight="1">
      <c r="A244" s="28" t="s">
        <v>304</v>
      </c>
      <c r="B244" s="29" t="s">
        <v>27</v>
      </c>
      <c r="C244" s="29" t="s">
        <v>47</v>
      </c>
      <c r="D244" s="29">
        <v>4293.51</v>
      </c>
      <c r="E244" s="29">
        <v>0.15</v>
      </c>
      <c r="F244" s="29">
        <v>8</v>
      </c>
      <c r="G244" s="30">
        <v>45576</v>
      </c>
      <c r="H244" s="30">
        <v>45579</v>
      </c>
      <c r="I244" s="29" t="s">
        <v>16</v>
      </c>
      <c r="J244" s="29" t="s">
        <v>29</v>
      </c>
      <c r="K244" s="29">
        <v>1090.8399999999999</v>
      </c>
      <c r="L244" s="28" t="s">
        <v>63</v>
      </c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</row>
    <row r="245" spans="1:24" ht="14.25" customHeight="1">
      <c r="A245" s="28" t="s">
        <v>305</v>
      </c>
      <c r="B245" s="29" t="s">
        <v>35</v>
      </c>
      <c r="C245" s="29" t="s">
        <v>28</v>
      </c>
      <c r="D245" s="29">
        <v>634.92999999999995</v>
      </c>
      <c r="E245" s="29">
        <v>0.32</v>
      </c>
      <c r="F245" s="29">
        <v>9</v>
      </c>
      <c r="G245" s="30">
        <v>45349</v>
      </c>
      <c r="H245" s="30">
        <v>45351</v>
      </c>
      <c r="I245" s="29" t="s">
        <v>22</v>
      </c>
      <c r="J245" s="29" t="s">
        <v>17</v>
      </c>
      <c r="K245" s="29">
        <v>124.78</v>
      </c>
      <c r="L245" s="28" t="s">
        <v>24</v>
      </c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</row>
    <row r="246" spans="1:24" ht="14.25" customHeight="1">
      <c r="A246" s="28" t="s">
        <v>306</v>
      </c>
      <c r="B246" s="29" t="s">
        <v>14</v>
      </c>
      <c r="C246" s="29" t="s">
        <v>28</v>
      </c>
      <c r="D246" s="29">
        <v>3305.75</v>
      </c>
      <c r="E246" s="29">
        <v>0.36</v>
      </c>
      <c r="F246" s="29">
        <v>5</v>
      </c>
      <c r="G246" s="30">
        <v>45273</v>
      </c>
      <c r="H246" s="30">
        <v>45278</v>
      </c>
      <c r="I246" s="29" t="s">
        <v>22</v>
      </c>
      <c r="J246" s="29" t="s">
        <v>23</v>
      </c>
      <c r="K246" s="29">
        <v>627.83000000000004</v>
      </c>
      <c r="L246" s="28" t="s">
        <v>36</v>
      </c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</row>
    <row r="247" spans="1:24" ht="14.25" customHeight="1">
      <c r="A247" s="28" t="s">
        <v>307</v>
      </c>
      <c r="B247" s="29" t="s">
        <v>20</v>
      </c>
      <c r="C247" s="29" t="s">
        <v>21</v>
      </c>
      <c r="D247" s="29">
        <v>3074.3</v>
      </c>
      <c r="E247" s="29">
        <v>0.28999999999999998</v>
      </c>
      <c r="F247" s="29">
        <v>2</v>
      </c>
      <c r="G247" s="30">
        <v>45504</v>
      </c>
      <c r="H247" s="30">
        <v>45508</v>
      </c>
      <c r="I247" s="29" t="s">
        <v>22</v>
      </c>
      <c r="J247" s="29" t="s">
        <v>29</v>
      </c>
      <c r="K247" s="29">
        <v>656.86</v>
      </c>
      <c r="L247" s="28" t="s">
        <v>118</v>
      </c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</row>
    <row r="248" spans="1:24" ht="14.25" customHeight="1">
      <c r="A248" s="28" t="s">
        <v>308</v>
      </c>
      <c r="B248" s="29" t="s">
        <v>27</v>
      </c>
      <c r="C248" s="29" t="s">
        <v>21</v>
      </c>
      <c r="D248" s="29">
        <v>2416.61</v>
      </c>
      <c r="E248" s="29">
        <v>0.49</v>
      </c>
      <c r="F248" s="29">
        <v>7</v>
      </c>
      <c r="G248" s="30">
        <v>45148</v>
      </c>
      <c r="H248" s="30">
        <v>45152</v>
      </c>
      <c r="I248" s="29" t="s">
        <v>16</v>
      </c>
      <c r="J248" s="29" t="s">
        <v>29</v>
      </c>
      <c r="K248" s="29">
        <v>710.07</v>
      </c>
      <c r="L248" s="28" t="s">
        <v>63</v>
      </c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</row>
    <row r="249" spans="1:24" ht="14.25" customHeight="1">
      <c r="A249" s="28" t="s">
        <v>309</v>
      </c>
      <c r="B249" s="29" t="s">
        <v>35</v>
      </c>
      <c r="C249" s="29" t="s">
        <v>21</v>
      </c>
      <c r="D249" s="29">
        <v>1463.35</v>
      </c>
      <c r="E249" s="29">
        <v>0.47</v>
      </c>
      <c r="F249" s="29">
        <v>6</v>
      </c>
      <c r="G249" s="30">
        <v>45114</v>
      </c>
      <c r="H249" s="30">
        <v>45121</v>
      </c>
      <c r="I249" s="29" t="s">
        <v>16</v>
      </c>
      <c r="J249" s="29" t="s">
        <v>17</v>
      </c>
      <c r="K249" s="29">
        <v>374.36</v>
      </c>
      <c r="L249" s="28" t="s">
        <v>59</v>
      </c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</row>
    <row r="250" spans="1:24" ht="14.25" customHeight="1">
      <c r="A250" s="28" t="s">
        <v>310</v>
      </c>
      <c r="B250" s="29" t="s">
        <v>14</v>
      </c>
      <c r="C250" s="29" t="s">
        <v>28</v>
      </c>
      <c r="D250" s="29">
        <v>2079.39</v>
      </c>
      <c r="E250" s="29">
        <v>0.05</v>
      </c>
      <c r="F250" s="29">
        <v>6</v>
      </c>
      <c r="G250" s="30">
        <v>45351</v>
      </c>
      <c r="H250" s="30">
        <v>45353</v>
      </c>
      <c r="I250" s="29" t="s">
        <v>16</v>
      </c>
      <c r="J250" s="29" t="s">
        <v>17</v>
      </c>
      <c r="K250" s="29">
        <v>214.85</v>
      </c>
      <c r="L250" s="28" t="s">
        <v>74</v>
      </c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</row>
    <row r="251" spans="1:24" ht="14.25" customHeight="1">
      <c r="A251" s="28" t="s">
        <v>311</v>
      </c>
      <c r="B251" s="29" t="s">
        <v>20</v>
      </c>
      <c r="C251" s="29" t="s">
        <v>47</v>
      </c>
      <c r="D251" s="29">
        <v>4051.32</v>
      </c>
      <c r="E251" s="29">
        <v>0.13</v>
      </c>
      <c r="F251" s="29">
        <v>1</v>
      </c>
      <c r="G251" s="30">
        <v>45475</v>
      </c>
      <c r="H251" s="30">
        <v>45482</v>
      </c>
      <c r="I251" s="29" t="s">
        <v>16</v>
      </c>
      <c r="J251" s="29" t="s">
        <v>29</v>
      </c>
      <c r="K251" s="29">
        <v>675.38</v>
      </c>
      <c r="L251" s="28" t="s">
        <v>63</v>
      </c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</row>
    <row r="252" spans="1:24" ht="14.25" customHeight="1">
      <c r="A252" s="28" t="s">
        <v>312</v>
      </c>
      <c r="B252" s="29" t="s">
        <v>27</v>
      </c>
      <c r="C252" s="29" t="s">
        <v>21</v>
      </c>
      <c r="D252" s="29">
        <v>3831.6</v>
      </c>
      <c r="E252" s="29">
        <v>0.43</v>
      </c>
      <c r="F252" s="29">
        <v>1</v>
      </c>
      <c r="G252" s="30">
        <v>45437</v>
      </c>
      <c r="H252" s="30">
        <v>45444</v>
      </c>
      <c r="I252" s="29" t="s">
        <v>16</v>
      </c>
      <c r="J252" s="29" t="s">
        <v>23</v>
      </c>
      <c r="K252" s="29">
        <v>906.63</v>
      </c>
      <c r="L252" s="28" t="s">
        <v>18</v>
      </c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</row>
    <row r="253" spans="1:24" ht="14.25" customHeight="1">
      <c r="A253" s="28" t="s">
        <v>313</v>
      </c>
      <c r="B253" s="29" t="s">
        <v>35</v>
      </c>
      <c r="C253" s="29" t="s">
        <v>15</v>
      </c>
      <c r="D253" s="29">
        <v>3720.16</v>
      </c>
      <c r="E253" s="29">
        <v>0.01</v>
      </c>
      <c r="F253" s="29">
        <v>6</v>
      </c>
      <c r="G253" s="30">
        <v>45132</v>
      </c>
      <c r="H253" s="30">
        <v>45138</v>
      </c>
      <c r="I253" s="29" t="s">
        <v>42</v>
      </c>
      <c r="J253" s="29" t="s">
        <v>23</v>
      </c>
      <c r="K253" s="29">
        <v>974.82</v>
      </c>
      <c r="L253" s="28" t="s">
        <v>118</v>
      </c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</row>
    <row r="254" spans="1:24" ht="14.25" customHeight="1">
      <c r="A254" s="28" t="s">
        <v>314</v>
      </c>
      <c r="B254" s="29" t="s">
        <v>14</v>
      </c>
      <c r="C254" s="29" t="s">
        <v>47</v>
      </c>
      <c r="D254" s="29">
        <v>3774.14</v>
      </c>
      <c r="E254" s="29">
        <v>0.3</v>
      </c>
      <c r="F254" s="29">
        <v>6</v>
      </c>
      <c r="G254" s="30">
        <v>45297</v>
      </c>
      <c r="H254" s="30">
        <v>45299</v>
      </c>
      <c r="I254" s="29" t="s">
        <v>22</v>
      </c>
      <c r="J254" s="29" t="s">
        <v>17</v>
      </c>
      <c r="K254" s="29">
        <v>268.47000000000003</v>
      </c>
      <c r="L254" s="28" t="s">
        <v>36</v>
      </c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</row>
    <row r="255" spans="1:24" ht="14.25" customHeight="1">
      <c r="A255" s="28" t="s">
        <v>315</v>
      </c>
      <c r="B255" s="29" t="s">
        <v>20</v>
      </c>
      <c r="C255" s="29" t="s">
        <v>15</v>
      </c>
      <c r="D255" s="29">
        <v>805.04</v>
      </c>
      <c r="E255" s="29">
        <v>0.48</v>
      </c>
      <c r="F255" s="29">
        <v>4</v>
      </c>
      <c r="G255" s="30">
        <v>45400</v>
      </c>
      <c r="H255" s="30">
        <v>45401</v>
      </c>
      <c r="I255" s="29" t="s">
        <v>16</v>
      </c>
      <c r="J255" s="29" t="s">
        <v>29</v>
      </c>
      <c r="K255" s="29">
        <v>179.9</v>
      </c>
      <c r="L255" s="28" t="s">
        <v>74</v>
      </c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</row>
    <row r="256" spans="1:24" ht="14.25" customHeight="1">
      <c r="A256" s="28" t="s">
        <v>316</v>
      </c>
      <c r="B256" s="29" t="s">
        <v>27</v>
      </c>
      <c r="C256" s="29" t="s">
        <v>47</v>
      </c>
      <c r="D256" s="29">
        <v>585.57000000000005</v>
      </c>
      <c r="E256" s="29">
        <v>0.34</v>
      </c>
      <c r="F256" s="29">
        <v>8</v>
      </c>
      <c r="G256" s="30">
        <v>45318</v>
      </c>
      <c r="H256" s="30">
        <v>45321</v>
      </c>
      <c r="I256" s="29" t="s">
        <v>16</v>
      </c>
      <c r="J256" s="29" t="s">
        <v>29</v>
      </c>
      <c r="K256" s="29">
        <v>51.66</v>
      </c>
      <c r="L256" s="28" t="s">
        <v>84</v>
      </c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</row>
    <row r="257" spans="1:24" ht="14.25" customHeight="1">
      <c r="A257" s="28" t="s">
        <v>317</v>
      </c>
      <c r="B257" s="29" t="s">
        <v>35</v>
      </c>
      <c r="C257" s="29" t="s">
        <v>21</v>
      </c>
      <c r="D257" s="29">
        <v>4321.34</v>
      </c>
      <c r="E257" s="29">
        <v>0.05</v>
      </c>
      <c r="F257" s="29">
        <v>9</v>
      </c>
      <c r="G257" s="30">
        <v>45405</v>
      </c>
      <c r="H257" s="30">
        <v>45406</v>
      </c>
      <c r="I257" s="29" t="s">
        <v>16</v>
      </c>
      <c r="J257" s="29" t="s">
        <v>17</v>
      </c>
      <c r="K257" s="29">
        <v>330.56</v>
      </c>
      <c r="L257" s="28" t="s">
        <v>77</v>
      </c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</row>
    <row r="258" spans="1:24" ht="14.25" customHeight="1">
      <c r="A258" s="28" t="s">
        <v>318</v>
      </c>
      <c r="B258" s="29" t="s">
        <v>14</v>
      </c>
      <c r="C258" s="29" t="s">
        <v>52</v>
      </c>
      <c r="D258" s="29">
        <v>4202.16</v>
      </c>
      <c r="E258" s="29">
        <v>0.37</v>
      </c>
      <c r="F258" s="29">
        <v>6</v>
      </c>
      <c r="G258" s="30">
        <v>45435</v>
      </c>
      <c r="H258" s="30">
        <v>45442</v>
      </c>
      <c r="I258" s="29" t="s">
        <v>16</v>
      </c>
      <c r="J258" s="29" t="s">
        <v>17</v>
      </c>
      <c r="K258" s="29">
        <v>1096.27</v>
      </c>
      <c r="L258" s="28" t="s">
        <v>56</v>
      </c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</row>
    <row r="259" spans="1:24" ht="14.25" customHeight="1">
      <c r="A259" s="28" t="s">
        <v>319</v>
      </c>
      <c r="B259" s="29" t="s">
        <v>20</v>
      </c>
      <c r="C259" s="29" t="s">
        <v>21</v>
      </c>
      <c r="D259" s="29">
        <v>3438.46</v>
      </c>
      <c r="E259" s="29">
        <v>0.19</v>
      </c>
      <c r="F259" s="29">
        <v>8</v>
      </c>
      <c r="G259" s="30">
        <v>44983</v>
      </c>
      <c r="H259" s="30">
        <v>44986</v>
      </c>
      <c r="I259" s="29" t="s">
        <v>22</v>
      </c>
      <c r="J259" s="29" t="s">
        <v>29</v>
      </c>
      <c r="K259" s="29">
        <v>848.11</v>
      </c>
      <c r="L259" s="28" t="s">
        <v>54</v>
      </c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</row>
    <row r="260" spans="1:24" ht="14.25" customHeight="1">
      <c r="A260" s="28" t="s">
        <v>320</v>
      </c>
      <c r="B260" s="29" t="s">
        <v>27</v>
      </c>
      <c r="C260" s="29" t="s">
        <v>28</v>
      </c>
      <c r="D260" s="29">
        <v>3068.94</v>
      </c>
      <c r="E260" s="29">
        <v>0.46</v>
      </c>
      <c r="F260" s="29">
        <v>8</v>
      </c>
      <c r="G260" s="30">
        <v>44993</v>
      </c>
      <c r="H260" s="30">
        <v>44998</v>
      </c>
      <c r="I260" s="29" t="s">
        <v>22</v>
      </c>
      <c r="J260" s="29" t="s">
        <v>23</v>
      </c>
      <c r="K260" s="29">
        <v>726.26</v>
      </c>
      <c r="L260" s="28" t="s">
        <v>24</v>
      </c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</row>
    <row r="261" spans="1:24" ht="14.25" customHeight="1">
      <c r="A261" s="28" t="s">
        <v>321</v>
      </c>
      <c r="B261" s="29" t="s">
        <v>35</v>
      </c>
      <c r="C261" s="29" t="s">
        <v>28</v>
      </c>
      <c r="D261" s="29">
        <v>1897.67</v>
      </c>
      <c r="E261" s="29">
        <v>0.14000000000000001</v>
      </c>
      <c r="F261" s="29">
        <v>2</v>
      </c>
      <c r="G261" s="30">
        <v>44954</v>
      </c>
      <c r="H261" s="30">
        <v>44959</v>
      </c>
      <c r="I261" s="29" t="s">
        <v>42</v>
      </c>
      <c r="J261" s="29" t="s">
        <v>17</v>
      </c>
      <c r="K261" s="29">
        <v>106.36</v>
      </c>
      <c r="L261" s="28" t="s">
        <v>56</v>
      </c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</row>
    <row r="262" spans="1:24" ht="14.25" customHeight="1">
      <c r="A262" s="28" t="s">
        <v>322</v>
      </c>
      <c r="B262" s="29" t="s">
        <v>14</v>
      </c>
      <c r="C262" s="29" t="s">
        <v>47</v>
      </c>
      <c r="D262" s="29">
        <v>1198</v>
      </c>
      <c r="E262" s="29">
        <v>0.24</v>
      </c>
      <c r="F262" s="29">
        <v>4</v>
      </c>
      <c r="G262" s="30">
        <v>45580</v>
      </c>
      <c r="H262" s="30">
        <v>45587</v>
      </c>
      <c r="I262" s="29" t="s">
        <v>22</v>
      </c>
      <c r="J262" s="29" t="s">
        <v>23</v>
      </c>
      <c r="K262" s="29">
        <v>136.83000000000001</v>
      </c>
      <c r="L262" s="28" t="s">
        <v>36</v>
      </c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</row>
    <row r="263" spans="1:24" ht="14.25" customHeight="1">
      <c r="A263" s="28" t="s">
        <v>323</v>
      </c>
      <c r="B263" s="29" t="s">
        <v>20</v>
      </c>
      <c r="C263" s="29" t="s">
        <v>28</v>
      </c>
      <c r="D263" s="29">
        <v>3371.52</v>
      </c>
      <c r="E263" s="29">
        <v>0.37</v>
      </c>
      <c r="F263" s="29">
        <v>1</v>
      </c>
      <c r="G263" s="30">
        <v>45577</v>
      </c>
      <c r="H263" s="30">
        <v>45583</v>
      </c>
      <c r="I263" s="29" t="s">
        <v>16</v>
      </c>
      <c r="J263" s="29" t="s">
        <v>23</v>
      </c>
      <c r="K263" s="29">
        <v>531.95000000000005</v>
      </c>
      <c r="L263" s="28" t="s">
        <v>25</v>
      </c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</row>
    <row r="264" spans="1:24" ht="14.25" customHeight="1">
      <c r="A264" s="28" t="s">
        <v>324</v>
      </c>
      <c r="B264" s="29" t="s">
        <v>27</v>
      </c>
      <c r="C264" s="29" t="s">
        <v>21</v>
      </c>
      <c r="D264" s="29">
        <v>4573.87</v>
      </c>
      <c r="E264" s="29">
        <v>0.13</v>
      </c>
      <c r="F264" s="29">
        <v>1</v>
      </c>
      <c r="G264" s="30">
        <v>45158</v>
      </c>
      <c r="H264" s="30">
        <v>45161</v>
      </c>
      <c r="I264" s="29" t="s">
        <v>16</v>
      </c>
      <c r="J264" s="29" t="s">
        <v>29</v>
      </c>
      <c r="K264" s="29">
        <v>1235</v>
      </c>
      <c r="L264" s="28" t="s">
        <v>84</v>
      </c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</row>
    <row r="265" spans="1:24" ht="14.25" customHeight="1">
      <c r="A265" s="28" t="s">
        <v>325</v>
      </c>
      <c r="B265" s="29" t="s">
        <v>35</v>
      </c>
      <c r="C265" s="29" t="s">
        <v>15</v>
      </c>
      <c r="D265" s="29">
        <v>2241.2800000000002</v>
      </c>
      <c r="E265" s="29">
        <v>0.09</v>
      </c>
      <c r="F265" s="29">
        <v>6</v>
      </c>
      <c r="G265" s="30">
        <v>45033</v>
      </c>
      <c r="H265" s="30">
        <v>45038</v>
      </c>
      <c r="I265" s="29" t="s">
        <v>16</v>
      </c>
      <c r="J265" s="29" t="s">
        <v>23</v>
      </c>
      <c r="K265" s="29">
        <v>405.21</v>
      </c>
      <c r="L265" s="28" t="s">
        <v>54</v>
      </c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</row>
    <row r="266" spans="1:24" ht="14.25" customHeight="1">
      <c r="A266" s="28" t="s">
        <v>326</v>
      </c>
      <c r="B266" s="29" t="s">
        <v>14</v>
      </c>
      <c r="C266" s="29" t="s">
        <v>21</v>
      </c>
      <c r="D266" s="29">
        <v>1585.74</v>
      </c>
      <c r="E266" s="29">
        <v>0</v>
      </c>
      <c r="F266" s="29">
        <v>7</v>
      </c>
      <c r="G266" s="30">
        <v>45063</v>
      </c>
      <c r="H266" s="30">
        <v>45066</v>
      </c>
      <c r="I266" s="29" t="s">
        <v>16</v>
      </c>
      <c r="J266" s="29" t="s">
        <v>23</v>
      </c>
      <c r="K266" s="29">
        <v>276.95999999999998</v>
      </c>
      <c r="L266" s="28" t="s">
        <v>118</v>
      </c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</row>
    <row r="267" spans="1:24" ht="14.25" customHeight="1">
      <c r="A267" s="28" t="s">
        <v>327</v>
      </c>
      <c r="B267" s="29" t="s">
        <v>20</v>
      </c>
      <c r="C267" s="29" t="s">
        <v>47</v>
      </c>
      <c r="D267" s="29">
        <v>1426.63</v>
      </c>
      <c r="E267" s="29">
        <v>0.24</v>
      </c>
      <c r="F267" s="29">
        <v>5</v>
      </c>
      <c r="G267" s="30">
        <v>45304</v>
      </c>
      <c r="H267" s="30">
        <v>45311</v>
      </c>
      <c r="I267" s="29" t="s">
        <v>22</v>
      </c>
      <c r="J267" s="29" t="s">
        <v>29</v>
      </c>
      <c r="K267" s="29">
        <v>72.98</v>
      </c>
      <c r="L267" s="28" t="s">
        <v>56</v>
      </c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</row>
    <row r="268" spans="1:24" ht="14.25" customHeight="1">
      <c r="A268" s="28" t="s">
        <v>328</v>
      </c>
      <c r="B268" s="29" t="s">
        <v>27</v>
      </c>
      <c r="C268" s="29" t="s">
        <v>28</v>
      </c>
      <c r="D268" s="29">
        <v>216.16</v>
      </c>
      <c r="E268" s="29">
        <v>0.46</v>
      </c>
      <c r="F268" s="29">
        <v>8</v>
      </c>
      <c r="G268" s="30">
        <v>45602</v>
      </c>
      <c r="H268" s="30">
        <v>45608</v>
      </c>
      <c r="I268" s="29" t="s">
        <v>22</v>
      </c>
      <c r="J268" s="29" t="s">
        <v>17</v>
      </c>
      <c r="K268" s="29">
        <v>55.65</v>
      </c>
      <c r="L268" s="28" t="s">
        <v>56</v>
      </c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</row>
    <row r="269" spans="1:24" ht="14.25" customHeight="1">
      <c r="A269" s="28" t="s">
        <v>329</v>
      </c>
      <c r="B269" s="29" t="s">
        <v>35</v>
      </c>
      <c r="C269" s="29" t="s">
        <v>15</v>
      </c>
      <c r="D269" s="29">
        <v>2649.55</v>
      </c>
      <c r="E269" s="29">
        <v>0.14000000000000001</v>
      </c>
      <c r="F269" s="29">
        <v>9</v>
      </c>
      <c r="G269" s="30">
        <v>45585</v>
      </c>
      <c r="H269" s="30">
        <v>45591</v>
      </c>
      <c r="I269" s="29" t="s">
        <v>42</v>
      </c>
      <c r="J269" s="29" t="s">
        <v>23</v>
      </c>
      <c r="K269" s="29">
        <v>520.04</v>
      </c>
      <c r="L269" s="28" t="s">
        <v>56</v>
      </c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</row>
    <row r="270" spans="1:24" ht="14.25" customHeight="1">
      <c r="A270" s="28" t="s">
        <v>330</v>
      </c>
      <c r="B270" s="29" t="s">
        <v>14</v>
      </c>
      <c r="C270" s="29" t="s">
        <v>52</v>
      </c>
      <c r="D270" s="29">
        <v>4942.3599999999997</v>
      </c>
      <c r="E270" s="29">
        <v>0.02</v>
      </c>
      <c r="F270" s="29">
        <v>4</v>
      </c>
      <c r="G270" s="30">
        <v>45317</v>
      </c>
      <c r="H270" s="30">
        <v>45323</v>
      </c>
      <c r="I270" s="29" t="s">
        <v>22</v>
      </c>
      <c r="J270" s="29" t="s">
        <v>17</v>
      </c>
      <c r="K270" s="29">
        <v>705.97</v>
      </c>
      <c r="L270" s="28" t="s">
        <v>70</v>
      </c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</row>
    <row r="271" spans="1:24" ht="14.25" customHeight="1">
      <c r="A271" s="28" t="s">
        <v>331</v>
      </c>
      <c r="B271" s="29" t="s">
        <v>20</v>
      </c>
      <c r="C271" s="29" t="s">
        <v>15</v>
      </c>
      <c r="D271" s="29">
        <v>4094.66</v>
      </c>
      <c r="E271" s="29">
        <v>0.31</v>
      </c>
      <c r="F271" s="29">
        <v>1</v>
      </c>
      <c r="G271" s="30">
        <v>45617</v>
      </c>
      <c r="H271" s="30">
        <v>45622</v>
      </c>
      <c r="I271" s="29" t="s">
        <v>16</v>
      </c>
      <c r="J271" s="29" t="s">
        <v>29</v>
      </c>
      <c r="K271" s="29">
        <v>369.04</v>
      </c>
      <c r="L271" s="28" t="s">
        <v>25</v>
      </c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</row>
    <row r="272" spans="1:24" ht="14.25" customHeight="1">
      <c r="A272" s="28" t="s">
        <v>332</v>
      </c>
      <c r="B272" s="29" t="s">
        <v>27</v>
      </c>
      <c r="C272" s="29" t="s">
        <v>15</v>
      </c>
      <c r="D272" s="29">
        <v>4497.63</v>
      </c>
      <c r="E272" s="29">
        <v>0.03</v>
      </c>
      <c r="F272" s="29">
        <v>6</v>
      </c>
      <c r="G272" s="30">
        <v>45525</v>
      </c>
      <c r="H272" s="30">
        <v>45531</v>
      </c>
      <c r="I272" s="29" t="s">
        <v>16</v>
      </c>
      <c r="J272" s="29" t="s">
        <v>29</v>
      </c>
      <c r="K272" s="29">
        <v>696.38</v>
      </c>
      <c r="L272" s="28" t="s">
        <v>36</v>
      </c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</row>
    <row r="273" spans="1:24" ht="14.25" customHeight="1">
      <c r="A273" s="28" t="s">
        <v>333</v>
      </c>
      <c r="B273" s="29" t="s">
        <v>35</v>
      </c>
      <c r="C273" s="29" t="s">
        <v>21</v>
      </c>
      <c r="D273" s="29">
        <v>3143.7</v>
      </c>
      <c r="E273" s="29">
        <v>0.25</v>
      </c>
      <c r="F273" s="29">
        <v>1</v>
      </c>
      <c r="G273" s="30">
        <v>45002</v>
      </c>
      <c r="H273" s="30">
        <v>45006</v>
      </c>
      <c r="I273" s="29" t="s">
        <v>22</v>
      </c>
      <c r="J273" s="29" t="s">
        <v>29</v>
      </c>
      <c r="K273" s="29">
        <v>344.8</v>
      </c>
      <c r="L273" s="28" t="s">
        <v>36</v>
      </c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</row>
    <row r="274" spans="1:24" ht="14.25" customHeight="1">
      <c r="A274" s="28" t="s">
        <v>334</v>
      </c>
      <c r="B274" s="29" t="s">
        <v>14</v>
      </c>
      <c r="C274" s="29" t="s">
        <v>52</v>
      </c>
      <c r="D274" s="29">
        <v>2459.09</v>
      </c>
      <c r="E274" s="29">
        <v>0.19</v>
      </c>
      <c r="F274" s="29">
        <v>2</v>
      </c>
      <c r="G274" s="30">
        <v>45381</v>
      </c>
      <c r="H274" s="30">
        <v>45388</v>
      </c>
      <c r="I274" s="29" t="s">
        <v>42</v>
      </c>
      <c r="J274" s="29" t="s">
        <v>29</v>
      </c>
      <c r="K274" s="29">
        <v>399.72</v>
      </c>
      <c r="L274" s="28" t="s">
        <v>84</v>
      </c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</row>
    <row r="275" spans="1:24" ht="14.25" customHeight="1">
      <c r="A275" s="28" t="s">
        <v>335</v>
      </c>
      <c r="B275" s="29" t="s">
        <v>20</v>
      </c>
      <c r="C275" s="29" t="s">
        <v>47</v>
      </c>
      <c r="D275" s="29">
        <v>4953.24</v>
      </c>
      <c r="E275" s="29">
        <v>0.24</v>
      </c>
      <c r="F275" s="29">
        <v>4</v>
      </c>
      <c r="G275" s="30">
        <v>45271</v>
      </c>
      <c r="H275" s="30">
        <v>45273</v>
      </c>
      <c r="I275" s="29" t="s">
        <v>42</v>
      </c>
      <c r="J275" s="29" t="s">
        <v>29</v>
      </c>
      <c r="K275" s="29">
        <v>627.20000000000005</v>
      </c>
      <c r="L275" s="28" t="s">
        <v>118</v>
      </c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</row>
    <row r="276" spans="1:24" ht="14.25" customHeight="1">
      <c r="A276" s="28" t="s">
        <v>336</v>
      </c>
      <c r="B276" s="29" t="s">
        <v>27</v>
      </c>
      <c r="C276" s="29" t="s">
        <v>47</v>
      </c>
      <c r="D276" s="29">
        <v>2291.09</v>
      </c>
      <c r="E276" s="29">
        <v>0.08</v>
      </c>
      <c r="F276" s="29">
        <v>4</v>
      </c>
      <c r="G276" s="30">
        <v>45516</v>
      </c>
      <c r="H276" s="30">
        <v>45521</v>
      </c>
      <c r="I276" s="29" t="s">
        <v>22</v>
      </c>
      <c r="J276" s="29" t="s">
        <v>17</v>
      </c>
      <c r="K276" s="29">
        <v>139.74</v>
      </c>
      <c r="L276" s="28" t="s">
        <v>84</v>
      </c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</row>
    <row r="277" spans="1:24" ht="14.25" customHeight="1">
      <c r="A277" s="28" t="s">
        <v>337</v>
      </c>
      <c r="B277" s="29" t="s">
        <v>35</v>
      </c>
      <c r="C277" s="29" t="s">
        <v>15</v>
      </c>
      <c r="D277" s="29">
        <v>4592.47</v>
      </c>
      <c r="E277" s="29">
        <v>0.05</v>
      </c>
      <c r="F277" s="29">
        <v>6</v>
      </c>
      <c r="G277" s="30">
        <v>45496</v>
      </c>
      <c r="H277" s="30">
        <v>45501</v>
      </c>
      <c r="I277" s="29" t="s">
        <v>22</v>
      </c>
      <c r="J277" s="29" t="s">
        <v>17</v>
      </c>
      <c r="K277" s="29">
        <v>1369.07</v>
      </c>
      <c r="L277" s="28" t="s">
        <v>118</v>
      </c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</row>
    <row r="278" spans="1:24" ht="14.25" customHeight="1">
      <c r="A278" s="28" t="s">
        <v>338</v>
      </c>
      <c r="B278" s="29" t="s">
        <v>14</v>
      </c>
      <c r="C278" s="29" t="s">
        <v>15</v>
      </c>
      <c r="D278" s="29">
        <v>3833.04</v>
      </c>
      <c r="E278" s="29">
        <v>0.37</v>
      </c>
      <c r="F278" s="29">
        <v>8</v>
      </c>
      <c r="G278" s="30">
        <v>45641</v>
      </c>
      <c r="H278" s="30">
        <v>45645</v>
      </c>
      <c r="I278" s="29" t="s">
        <v>22</v>
      </c>
      <c r="J278" s="29" t="s">
        <v>29</v>
      </c>
      <c r="K278" s="29">
        <v>620.79</v>
      </c>
      <c r="L278" s="28" t="s">
        <v>82</v>
      </c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</row>
    <row r="279" spans="1:24" ht="14.25" customHeight="1">
      <c r="A279" s="28" t="s">
        <v>339</v>
      </c>
      <c r="B279" s="29" t="s">
        <v>20</v>
      </c>
      <c r="C279" s="29" t="s">
        <v>28</v>
      </c>
      <c r="D279" s="29">
        <v>1721.79</v>
      </c>
      <c r="E279" s="29">
        <v>0.12</v>
      </c>
      <c r="F279" s="29">
        <v>3</v>
      </c>
      <c r="G279" s="30">
        <v>45385</v>
      </c>
      <c r="H279" s="30">
        <v>45386</v>
      </c>
      <c r="I279" s="29" t="s">
        <v>16</v>
      </c>
      <c r="J279" s="29" t="s">
        <v>23</v>
      </c>
      <c r="K279" s="29">
        <v>436.28</v>
      </c>
      <c r="L279" s="28" t="s">
        <v>24</v>
      </c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</row>
    <row r="280" spans="1:24" ht="14.25" customHeight="1">
      <c r="A280" s="28" t="s">
        <v>340</v>
      </c>
      <c r="B280" s="29" t="s">
        <v>27</v>
      </c>
      <c r="C280" s="29" t="s">
        <v>52</v>
      </c>
      <c r="D280" s="29">
        <v>2565</v>
      </c>
      <c r="E280" s="29">
        <v>0.4</v>
      </c>
      <c r="F280" s="29">
        <v>6</v>
      </c>
      <c r="G280" s="30">
        <v>45289</v>
      </c>
      <c r="H280" s="30">
        <v>45293</v>
      </c>
      <c r="I280" s="29" t="s">
        <v>22</v>
      </c>
      <c r="J280" s="29" t="s">
        <v>29</v>
      </c>
      <c r="K280" s="29">
        <v>202.72</v>
      </c>
      <c r="L280" s="28" t="s">
        <v>74</v>
      </c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</row>
    <row r="281" spans="1:24" ht="14.25" customHeight="1">
      <c r="A281" s="28" t="s">
        <v>341</v>
      </c>
      <c r="B281" s="29" t="s">
        <v>35</v>
      </c>
      <c r="C281" s="29" t="s">
        <v>15</v>
      </c>
      <c r="D281" s="29">
        <v>1983.21</v>
      </c>
      <c r="E281" s="29">
        <v>0.38</v>
      </c>
      <c r="F281" s="29">
        <v>3</v>
      </c>
      <c r="G281" s="30">
        <v>45500</v>
      </c>
      <c r="H281" s="30">
        <v>45505</v>
      </c>
      <c r="I281" s="29" t="s">
        <v>22</v>
      </c>
      <c r="J281" s="29" t="s">
        <v>29</v>
      </c>
      <c r="K281" s="29">
        <v>400.98</v>
      </c>
      <c r="L281" s="28" t="s">
        <v>63</v>
      </c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</row>
    <row r="282" spans="1:24" ht="14.25" customHeight="1">
      <c r="A282" s="28" t="s">
        <v>342</v>
      </c>
      <c r="B282" s="29" t="s">
        <v>14</v>
      </c>
      <c r="C282" s="29" t="s">
        <v>28</v>
      </c>
      <c r="D282" s="29">
        <v>767.49</v>
      </c>
      <c r="E282" s="29">
        <v>0.1</v>
      </c>
      <c r="F282" s="29">
        <v>2</v>
      </c>
      <c r="G282" s="30">
        <v>45069</v>
      </c>
      <c r="H282" s="30">
        <v>45073</v>
      </c>
      <c r="I282" s="29" t="s">
        <v>42</v>
      </c>
      <c r="J282" s="29" t="s">
        <v>23</v>
      </c>
      <c r="K282" s="29">
        <v>139.09</v>
      </c>
      <c r="L282" s="28" t="s">
        <v>77</v>
      </c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</row>
    <row r="283" spans="1:24" ht="14.25" customHeight="1">
      <c r="A283" s="28" t="s">
        <v>343</v>
      </c>
      <c r="B283" s="29" t="s">
        <v>20</v>
      </c>
      <c r="C283" s="29" t="s">
        <v>52</v>
      </c>
      <c r="D283" s="29">
        <v>1848.16</v>
      </c>
      <c r="E283" s="29">
        <v>0.45</v>
      </c>
      <c r="F283" s="29">
        <v>4</v>
      </c>
      <c r="G283" s="30">
        <v>45505</v>
      </c>
      <c r="H283" s="30">
        <v>45509</v>
      </c>
      <c r="I283" s="29" t="s">
        <v>42</v>
      </c>
      <c r="J283" s="29" t="s">
        <v>23</v>
      </c>
      <c r="K283" s="29">
        <v>533.01</v>
      </c>
      <c r="L283" s="28" t="s">
        <v>36</v>
      </c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</row>
    <row r="284" spans="1:24" ht="14.25" customHeight="1">
      <c r="A284" s="28" t="s">
        <v>344</v>
      </c>
      <c r="B284" s="29" t="s">
        <v>27</v>
      </c>
      <c r="C284" s="29" t="s">
        <v>47</v>
      </c>
      <c r="D284" s="29">
        <v>4455.97</v>
      </c>
      <c r="E284" s="29">
        <v>0.08</v>
      </c>
      <c r="F284" s="29">
        <v>4</v>
      </c>
      <c r="G284" s="30">
        <v>45564</v>
      </c>
      <c r="H284" s="30">
        <v>45570</v>
      </c>
      <c r="I284" s="29" t="s">
        <v>16</v>
      </c>
      <c r="J284" s="29" t="s">
        <v>29</v>
      </c>
      <c r="K284" s="29">
        <v>1118.01</v>
      </c>
      <c r="L284" s="28" t="s">
        <v>30</v>
      </c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</row>
    <row r="285" spans="1:24" ht="14.25" customHeight="1">
      <c r="A285" s="28" t="s">
        <v>345</v>
      </c>
      <c r="B285" s="29" t="s">
        <v>35</v>
      </c>
      <c r="C285" s="29" t="s">
        <v>28</v>
      </c>
      <c r="D285" s="29">
        <v>3787.91</v>
      </c>
      <c r="E285" s="29">
        <v>0.4</v>
      </c>
      <c r="F285" s="29">
        <v>2</v>
      </c>
      <c r="G285" s="30">
        <v>45071</v>
      </c>
      <c r="H285" s="30">
        <v>45075</v>
      </c>
      <c r="I285" s="29" t="s">
        <v>42</v>
      </c>
      <c r="J285" s="29" t="s">
        <v>29</v>
      </c>
      <c r="K285" s="29">
        <v>580.76</v>
      </c>
      <c r="L285" s="28" t="s">
        <v>24</v>
      </c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</row>
    <row r="286" spans="1:24" ht="14.25" customHeight="1">
      <c r="A286" s="28" t="s">
        <v>346</v>
      </c>
      <c r="B286" s="29" t="s">
        <v>14</v>
      </c>
      <c r="C286" s="29" t="s">
        <v>52</v>
      </c>
      <c r="D286" s="29">
        <v>1460.15</v>
      </c>
      <c r="E286" s="29">
        <v>0.21</v>
      </c>
      <c r="F286" s="29">
        <v>3</v>
      </c>
      <c r="G286" s="30">
        <v>45295</v>
      </c>
      <c r="H286" s="30">
        <v>45302</v>
      </c>
      <c r="I286" s="29" t="s">
        <v>42</v>
      </c>
      <c r="J286" s="29" t="s">
        <v>23</v>
      </c>
      <c r="K286" s="29">
        <v>362.96</v>
      </c>
      <c r="L286" s="28" t="s">
        <v>24</v>
      </c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</row>
    <row r="287" spans="1:24" ht="14.25" customHeight="1">
      <c r="A287" s="28" t="s">
        <v>347</v>
      </c>
      <c r="B287" s="29" t="s">
        <v>20</v>
      </c>
      <c r="C287" s="29" t="s">
        <v>28</v>
      </c>
      <c r="D287" s="29">
        <v>1902.78</v>
      </c>
      <c r="E287" s="29">
        <v>0.09</v>
      </c>
      <c r="F287" s="29">
        <v>9</v>
      </c>
      <c r="G287" s="30">
        <v>45354</v>
      </c>
      <c r="H287" s="30">
        <v>45357</v>
      </c>
      <c r="I287" s="29" t="s">
        <v>22</v>
      </c>
      <c r="J287" s="29" t="s">
        <v>23</v>
      </c>
      <c r="K287" s="29">
        <v>289.24</v>
      </c>
      <c r="L287" s="28" t="s">
        <v>24</v>
      </c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</row>
    <row r="288" spans="1:24" ht="14.25" customHeight="1">
      <c r="A288" s="28" t="s">
        <v>348</v>
      </c>
      <c r="B288" s="29" t="s">
        <v>27</v>
      </c>
      <c r="C288" s="29" t="s">
        <v>15</v>
      </c>
      <c r="D288" s="29">
        <v>3120.53</v>
      </c>
      <c r="E288" s="29">
        <v>0.47</v>
      </c>
      <c r="F288" s="29">
        <v>9</v>
      </c>
      <c r="G288" s="30">
        <v>45641</v>
      </c>
      <c r="H288" s="30">
        <v>45645</v>
      </c>
      <c r="I288" s="29" t="s">
        <v>42</v>
      </c>
      <c r="J288" s="29" t="s">
        <v>29</v>
      </c>
      <c r="K288" s="29">
        <v>749.57</v>
      </c>
      <c r="L288" s="28" t="s">
        <v>18</v>
      </c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</row>
    <row r="289" spans="1:24" ht="14.25" customHeight="1">
      <c r="A289" s="28" t="s">
        <v>349</v>
      </c>
      <c r="B289" s="29" t="s">
        <v>35</v>
      </c>
      <c r="C289" s="29" t="s">
        <v>21</v>
      </c>
      <c r="D289" s="29">
        <v>2139.09</v>
      </c>
      <c r="E289" s="29">
        <v>0.48</v>
      </c>
      <c r="F289" s="29">
        <v>7</v>
      </c>
      <c r="G289" s="30">
        <v>45179</v>
      </c>
      <c r="H289" s="30">
        <v>45183</v>
      </c>
      <c r="I289" s="29" t="s">
        <v>42</v>
      </c>
      <c r="J289" s="29" t="s">
        <v>29</v>
      </c>
      <c r="K289" s="29">
        <v>262.82</v>
      </c>
      <c r="L289" s="28" t="s">
        <v>87</v>
      </c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</row>
    <row r="290" spans="1:24" ht="14.25" customHeight="1">
      <c r="A290" s="28" t="s">
        <v>350</v>
      </c>
      <c r="B290" s="29" t="s">
        <v>14</v>
      </c>
      <c r="C290" s="29" t="s">
        <v>47</v>
      </c>
      <c r="D290" s="29">
        <v>2564.92</v>
      </c>
      <c r="E290" s="29">
        <v>0.26</v>
      </c>
      <c r="F290" s="29">
        <v>2</v>
      </c>
      <c r="G290" s="30">
        <v>45548</v>
      </c>
      <c r="H290" s="30">
        <v>45555</v>
      </c>
      <c r="I290" s="29" t="s">
        <v>42</v>
      </c>
      <c r="J290" s="29" t="s">
        <v>23</v>
      </c>
      <c r="K290" s="29">
        <v>367.39</v>
      </c>
      <c r="L290" s="28" t="s">
        <v>77</v>
      </c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</row>
    <row r="291" spans="1:24" ht="14.25" customHeight="1">
      <c r="A291" s="28" t="s">
        <v>351</v>
      </c>
      <c r="B291" s="29" t="s">
        <v>20</v>
      </c>
      <c r="C291" s="29" t="s">
        <v>15</v>
      </c>
      <c r="D291" s="29">
        <v>3521.03</v>
      </c>
      <c r="E291" s="29">
        <v>0.23</v>
      </c>
      <c r="F291" s="29">
        <v>5</v>
      </c>
      <c r="G291" s="30">
        <v>45074</v>
      </c>
      <c r="H291" s="30">
        <v>45081</v>
      </c>
      <c r="I291" s="29" t="s">
        <v>42</v>
      </c>
      <c r="J291" s="29" t="s">
        <v>29</v>
      </c>
      <c r="K291" s="29">
        <v>709.19</v>
      </c>
      <c r="L291" s="28" t="s">
        <v>56</v>
      </c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</row>
    <row r="292" spans="1:24" ht="14.25" customHeight="1">
      <c r="A292" s="28" t="s">
        <v>352</v>
      </c>
      <c r="B292" s="29" t="s">
        <v>27</v>
      </c>
      <c r="C292" s="29" t="s">
        <v>15</v>
      </c>
      <c r="D292" s="29">
        <v>2389.5300000000002</v>
      </c>
      <c r="E292" s="29">
        <v>0.45</v>
      </c>
      <c r="F292" s="29">
        <v>8</v>
      </c>
      <c r="G292" s="30">
        <v>45053</v>
      </c>
      <c r="H292" s="30">
        <v>45058</v>
      </c>
      <c r="I292" s="29" t="s">
        <v>42</v>
      </c>
      <c r="J292" s="29" t="s">
        <v>17</v>
      </c>
      <c r="K292" s="29">
        <v>442.59</v>
      </c>
      <c r="L292" s="28" t="s">
        <v>25</v>
      </c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</row>
    <row r="293" spans="1:24" ht="14.25" customHeight="1">
      <c r="A293" s="28" t="s">
        <v>353</v>
      </c>
      <c r="B293" s="29" t="s">
        <v>35</v>
      </c>
      <c r="C293" s="29" t="s">
        <v>52</v>
      </c>
      <c r="D293" s="29">
        <v>1035.75</v>
      </c>
      <c r="E293" s="29">
        <v>0.3</v>
      </c>
      <c r="F293" s="29">
        <v>1</v>
      </c>
      <c r="G293" s="30">
        <v>45278</v>
      </c>
      <c r="H293" s="30">
        <v>45281</v>
      </c>
      <c r="I293" s="29" t="s">
        <v>42</v>
      </c>
      <c r="J293" s="29" t="s">
        <v>29</v>
      </c>
      <c r="K293" s="29">
        <v>154.19</v>
      </c>
      <c r="L293" s="28" t="s">
        <v>37</v>
      </c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</row>
    <row r="294" spans="1:24" ht="14.25" customHeight="1">
      <c r="A294" s="28" t="s">
        <v>354</v>
      </c>
      <c r="B294" s="29" t="s">
        <v>14</v>
      </c>
      <c r="C294" s="29" t="s">
        <v>28</v>
      </c>
      <c r="D294" s="29">
        <v>2650.81</v>
      </c>
      <c r="E294" s="29">
        <v>0.13</v>
      </c>
      <c r="F294" s="29">
        <v>1</v>
      </c>
      <c r="G294" s="30">
        <v>45047</v>
      </c>
      <c r="H294" s="30">
        <v>45048</v>
      </c>
      <c r="I294" s="29" t="s">
        <v>42</v>
      </c>
      <c r="J294" s="29" t="s">
        <v>23</v>
      </c>
      <c r="K294" s="29">
        <v>753.91</v>
      </c>
      <c r="L294" s="28" t="s">
        <v>74</v>
      </c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</row>
    <row r="295" spans="1:24" ht="14.25" customHeight="1">
      <c r="A295" s="28" t="s">
        <v>355</v>
      </c>
      <c r="B295" s="29" t="s">
        <v>20</v>
      </c>
      <c r="C295" s="29" t="s">
        <v>47</v>
      </c>
      <c r="D295" s="29">
        <v>1844.98</v>
      </c>
      <c r="E295" s="29">
        <v>0.21</v>
      </c>
      <c r="F295" s="29">
        <v>6</v>
      </c>
      <c r="G295" s="30">
        <v>45300</v>
      </c>
      <c r="H295" s="30">
        <v>45303</v>
      </c>
      <c r="I295" s="29" t="s">
        <v>42</v>
      </c>
      <c r="J295" s="29" t="s">
        <v>17</v>
      </c>
      <c r="K295" s="29">
        <v>324.74</v>
      </c>
      <c r="L295" s="28" t="s">
        <v>77</v>
      </c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</row>
    <row r="296" spans="1:24" ht="14.25" customHeight="1">
      <c r="A296" s="28" t="s">
        <v>356</v>
      </c>
      <c r="B296" s="29" t="s">
        <v>27</v>
      </c>
      <c r="C296" s="29" t="s">
        <v>15</v>
      </c>
      <c r="D296" s="29">
        <v>1524.6</v>
      </c>
      <c r="E296" s="29">
        <v>0.42</v>
      </c>
      <c r="F296" s="29">
        <v>7</v>
      </c>
      <c r="G296" s="30">
        <v>45267</v>
      </c>
      <c r="H296" s="30">
        <v>45270</v>
      </c>
      <c r="I296" s="29" t="s">
        <v>16</v>
      </c>
      <c r="J296" s="29" t="s">
        <v>29</v>
      </c>
      <c r="K296" s="29">
        <v>351.13</v>
      </c>
      <c r="L296" s="28" t="s">
        <v>56</v>
      </c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</row>
    <row r="297" spans="1:24" ht="14.25" customHeight="1">
      <c r="A297" s="28" t="s">
        <v>357</v>
      </c>
      <c r="B297" s="29" t="s">
        <v>35</v>
      </c>
      <c r="C297" s="29" t="s">
        <v>52</v>
      </c>
      <c r="D297" s="29">
        <v>1707.73</v>
      </c>
      <c r="E297" s="29">
        <v>0.43</v>
      </c>
      <c r="F297" s="29">
        <v>7</v>
      </c>
      <c r="G297" s="30">
        <v>44957</v>
      </c>
      <c r="H297" s="30">
        <v>44964</v>
      </c>
      <c r="I297" s="29" t="s">
        <v>22</v>
      </c>
      <c r="J297" s="29" t="s">
        <v>23</v>
      </c>
      <c r="K297" s="29">
        <v>263.39999999999998</v>
      </c>
      <c r="L297" s="28" t="s">
        <v>59</v>
      </c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</row>
    <row r="298" spans="1:24" ht="14.25" customHeight="1">
      <c r="A298" s="28" t="s">
        <v>358</v>
      </c>
      <c r="B298" s="29" t="s">
        <v>14</v>
      </c>
      <c r="C298" s="29" t="s">
        <v>47</v>
      </c>
      <c r="D298" s="29">
        <v>2251.11</v>
      </c>
      <c r="E298" s="29">
        <v>0.47</v>
      </c>
      <c r="F298" s="29">
        <v>3</v>
      </c>
      <c r="G298" s="30">
        <v>45271</v>
      </c>
      <c r="H298" s="30">
        <v>45278</v>
      </c>
      <c r="I298" s="29" t="s">
        <v>42</v>
      </c>
      <c r="J298" s="29" t="s">
        <v>17</v>
      </c>
      <c r="K298" s="29">
        <v>519.6</v>
      </c>
      <c r="L298" s="28" t="s">
        <v>87</v>
      </c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</row>
    <row r="299" spans="1:24" ht="14.25" customHeight="1">
      <c r="A299" s="28" t="s">
        <v>359</v>
      </c>
      <c r="B299" s="29" t="s">
        <v>20</v>
      </c>
      <c r="C299" s="29" t="s">
        <v>28</v>
      </c>
      <c r="D299" s="29">
        <v>4444.3999999999996</v>
      </c>
      <c r="E299" s="29">
        <v>0.14000000000000001</v>
      </c>
      <c r="F299" s="29">
        <v>4</v>
      </c>
      <c r="G299" s="30">
        <v>45479</v>
      </c>
      <c r="H299" s="30">
        <v>45482</v>
      </c>
      <c r="I299" s="29" t="s">
        <v>22</v>
      </c>
      <c r="J299" s="29" t="s">
        <v>23</v>
      </c>
      <c r="K299" s="29">
        <v>1102.6300000000001</v>
      </c>
      <c r="L299" s="28" t="s">
        <v>30</v>
      </c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</row>
    <row r="300" spans="1:24" ht="14.25" customHeight="1">
      <c r="A300" s="28" t="s">
        <v>360</v>
      </c>
      <c r="B300" s="29" t="s">
        <v>27</v>
      </c>
      <c r="C300" s="29" t="s">
        <v>15</v>
      </c>
      <c r="D300" s="29">
        <v>3696.88</v>
      </c>
      <c r="E300" s="29">
        <v>0.34</v>
      </c>
      <c r="F300" s="29">
        <v>9</v>
      </c>
      <c r="G300" s="30">
        <v>45130</v>
      </c>
      <c r="H300" s="30">
        <v>45135</v>
      </c>
      <c r="I300" s="29" t="s">
        <v>42</v>
      </c>
      <c r="J300" s="29" t="s">
        <v>29</v>
      </c>
      <c r="K300" s="29">
        <v>690.48</v>
      </c>
      <c r="L300" s="28" t="s">
        <v>87</v>
      </c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</row>
    <row r="301" spans="1:24" ht="14.25" customHeight="1">
      <c r="A301" s="28" t="s">
        <v>361</v>
      </c>
      <c r="B301" s="29" t="s">
        <v>35</v>
      </c>
      <c r="C301" s="29" t="s">
        <v>15</v>
      </c>
      <c r="D301" s="29">
        <v>3372.62</v>
      </c>
      <c r="E301" s="29">
        <v>0.03</v>
      </c>
      <c r="F301" s="29">
        <v>4</v>
      </c>
      <c r="G301" s="30">
        <v>45298</v>
      </c>
      <c r="H301" s="30">
        <v>45304</v>
      </c>
      <c r="I301" s="29" t="s">
        <v>16</v>
      </c>
      <c r="J301" s="29" t="s">
        <v>17</v>
      </c>
      <c r="K301" s="29">
        <v>196.2</v>
      </c>
      <c r="L301" s="28" t="s">
        <v>25</v>
      </c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</row>
    <row r="302" spans="1:24" ht="14.25" customHeight="1">
      <c r="A302" s="28" t="s">
        <v>362</v>
      </c>
      <c r="B302" s="29" t="s">
        <v>14</v>
      </c>
      <c r="C302" s="29" t="s">
        <v>15</v>
      </c>
      <c r="D302" s="29">
        <v>2409.1799999999998</v>
      </c>
      <c r="E302" s="29">
        <v>0.36</v>
      </c>
      <c r="F302" s="29">
        <v>5</v>
      </c>
      <c r="G302" s="30">
        <v>45338</v>
      </c>
      <c r="H302" s="30">
        <v>45340</v>
      </c>
      <c r="I302" s="29" t="s">
        <v>42</v>
      </c>
      <c r="J302" s="29" t="s">
        <v>29</v>
      </c>
      <c r="K302" s="29">
        <v>424.14</v>
      </c>
      <c r="L302" s="28" t="s">
        <v>30</v>
      </c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</row>
    <row r="303" spans="1:24" ht="14.25" customHeight="1">
      <c r="A303" s="28" t="s">
        <v>363</v>
      </c>
      <c r="B303" s="29" t="s">
        <v>20</v>
      </c>
      <c r="C303" s="29" t="s">
        <v>47</v>
      </c>
      <c r="D303" s="29">
        <v>108.97</v>
      </c>
      <c r="E303" s="29">
        <v>0.28000000000000003</v>
      </c>
      <c r="F303" s="29">
        <v>6</v>
      </c>
      <c r="G303" s="30">
        <v>45487</v>
      </c>
      <c r="H303" s="30">
        <v>45492</v>
      </c>
      <c r="I303" s="29" t="s">
        <v>16</v>
      </c>
      <c r="J303" s="29" t="s">
        <v>17</v>
      </c>
      <c r="K303" s="29">
        <v>29.94</v>
      </c>
      <c r="L303" s="28" t="s">
        <v>84</v>
      </c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</row>
    <row r="304" spans="1:24" ht="14.25" customHeight="1">
      <c r="A304" s="28" t="s">
        <v>364</v>
      </c>
      <c r="B304" s="29" t="s">
        <v>27</v>
      </c>
      <c r="C304" s="29" t="s">
        <v>47</v>
      </c>
      <c r="D304" s="29">
        <v>1768.7</v>
      </c>
      <c r="E304" s="29">
        <v>0.12</v>
      </c>
      <c r="F304" s="29">
        <v>7</v>
      </c>
      <c r="G304" s="30">
        <v>45528</v>
      </c>
      <c r="H304" s="30">
        <v>45535</v>
      </c>
      <c r="I304" s="29" t="s">
        <v>42</v>
      </c>
      <c r="J304" s="29" t="s">
        <v>29</v>
      </c>
      <c r="K304" s="29">
        <v>125.52</v>
      </c>
      <c r="L304" s="28" t="s">
        <v>63</v>
      </c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</row>
    <row r="305" spans="1:24" ht="14.25" customHeight="1">
      <c r="A305" s="28" t="s">
        <v>365</v>
      </c>
      <c r="B305" s="29" t="s">
        <v>35</v>
      </c>
      <c r="C305" s="29" t="s">
        <v>47</v>
      </c>
      <c r="D305" s="29">
        <v>4084.64</v>
      </c>
      <c r="E305" s="29">
        <v>0.33</v>
      </c>
      <c r="F305" s="29">
        <v>5</v>
      </c>
      <c r="G305" s="30">
        <v>45154</v>
      </c>
      <c r="H305" s="30">
        <v>45159</v>
      </c>
      <c r="I305" s="29" t="s">
        <v>42</v>
      </c>
      <c r="J305" s="29" t="s">
        <v>17</v>
      </c>
      <c r="K305" s="29">
        <v>800.8</v>
      </c>
      <c r="L305" s="28" t="s">
        <v>74</v>
      </c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</row>
    <row r="306" spans="1:24" ht="14.25" customHeight="1">
      <c r="A306" s="28" t="s">
        <v>366</v>
      </c>
      <c r="B306" s="29" t="s">
        <v>14</v>
      </c>
      <c r="C306" s="29" t="s">
        <v>47</v>
      </c>
      <c r="D306" s="29">
        <v>2002.04</v>
      </c>
      <c r="E306" s="29">
        <v>7.0000000000000007E-2</v>
      </c>
      <c r="F306" s="29">
        <v>7</v>
      </c>
      <c r="G306" s="30">
        <v>44958</v>
      </c>
      <c r="H306" s="30">
        <v>44959</v>
      </c>
      <c r="I306" s="29" t="s">
        <v>22</v>
      </c>
      <c r="J306" s="29" t="s">
        <v>23</v>
      </c>
      <c r="K306" s="29">
        <v>117.22</v>
      </c>
      <c r="L306" s="28" t="s">
        <v>24</v>
      </c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</row>
    <row r="307" spans="1:24" ht="14.25" customHeight="1">
      <c r="A307" s="28" t="s">
        <v>367</v>
      </c>
      <c r="B307" s="29" t="s">
        <v>20</v>
      </c>
      <c r="C307" s="29" t="s">
        <v>52</v>
      </c>
      <c r="D307" s="29">
        <v>2862.71</v>
      </c>
      <c r="E307" s="29">
        <v>0.17</v>
      </c>
      <c r="F307" s="29">
        <v>2</v>
      </c>
      <c r="G307" s="30">
        <v>45617</v>
      </c>
      <c r="H307" s="30">
        <v>45623</v>
      </c>
      <c r="I307" s="29" t="s">
        <v>42</v>
      </c>
      <c r="J307" s="29" t="s">
        <v>29</v>
      </c>
      <c r="K307" s="29">
        <v>491.84</v>
      </c>
      <c r="L307" s="28" t="s">
        <v>37</v>
      </c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</row>
    <row r="308" spans="1:24" ht="14.25" customHeight="1">
      <c r="A308" s="28" t="s">
        <v>368</v>
      </c>
      <c r="B308" s="29" t="s">
        <v>27</v>
      </c>
      <c r="C308" s="29" t="s">
        <v>21</v>
      </c>
      <c r="D308" s="29">
        <v>1103.23</v>
      </c>
      <c r="E308" s="29">
        <v>0.2</v>
      </c>
      <c r="F308" s="29">
        <v>7</v>
      </c>
      <c r="G308" s="30">
        <v>45272</v>
      </c>
      <c r="H308" s="30">
        <v>45273</v>
      </c>
      <c r="I308" s="29" t="s">
        <v>42</v>
      </c>
      <c r="J308" s="29" t="s">
        <v>29</v>
      </c>
      <c r="K308" s="29">
        <v>245.99</v>
      </c>
      <c r="L308" s="28" t="s">
        <v>54</v>
      </c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</row>
    <row r="309" spans="1:24" ht="14.25" customHeight="1">
      <c r="A309" s="28" t="s">
        <v>369</v>
      </c>
      <c r="B309" s="29" t="s">
        <v>35</v>
      </c>
      <c r="C309" s="29" t="s">
        <v>52</v>
      </c>
      <c r="D309" s="29">
        <v>4587.7</v>
      </c>
      <c r="E309" s="29">
        <v>0.39</v>
      </c>
      <c r="F309" s="29">
        <v>5</v>
      </c>
      <c r="G309" s="30">
        <v>45123</v>
      </c>
      <c r="H309" s="30">
        <v>45130</v>
      </c>
      <c r="I309" s="29" t="s">
        <v>16</v>
      </c>
      <c r="J309" s="29" t="s">
        <v>23</v>
      </c>
      <c r="K309" s="29">
        <v>665.8</v>
      </c>
      <c r="L309" s="28" t="s">
        <v>113</v>
      </c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</row>
    <row r="310" spans="1:24" ht="14.25" customHeight="1">
      <c r="A310" s="28" t="s">
        <v>370</v>
      </c>
      <c r="B310" s="29" t="s">
        <v>14</v>
      </c>
      <c r="C310" s="29" t="s">
        <v>15</v>
      </c>
      <c r="D310" s="29">
        <v>4623.54</v>
      </c>
      <c r="E310" s="29">
        <v>0.15</v>
      </c>
      <c r="F310" s="29">
        <v>5</v>
      </c>
      <c r="G310" s="30">
        <v>45220</v>
      </c>
      <c r="H310" s="30">
        <v>45221</v>
      </c>
      <c r="I310" s="29" t="s">
        <v>22</v>
      </c>
      <c r="J310" s="29" t="s">
        <v>29</v>
      </c>
      <c r="K310" s="29">
        <v>362.88</v>
      </c>
      <c r="L310" s="28" t="s">
        <v>63</v>
      </c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</row>
    <row r="311" spans="1:24" ht="14.25" customHeight="1">
      <c r="A311" s="28" t="s">
        <v>371</v>
      </c>
      <c r="B311" s="29" t="s">
        <v>20</v>
      </c>
      <c r="C311" s="29" t="s">
        <v>52</v>
      </c>
      <c r="D311" s="29">
        <v>815.74</v>
      </c>
      <c r="E311" s="29">
        <v>0.02</v>
      </c>
      <c r="F311" s="29">
        <v>6</v>
      </c>
      <c r="G311" s="30">
        <v>45515</v>
      </c>
      <c r="H311" s="30">
        <v>45517</v>
      </c>
      <c r="I311" s="29" t="s">
        <v>42</v>
      </c>
      <c r="J311" s="29" t="s">
        <v>17</v>
      </c>
      <c r="K311" s="29">
        <v>234</v>
      </c>
      <c r="L311" s="28" t="s">
        <v>36</v>
      </c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</row>
    <row r="312" spans="1:24" ht="14.25" customHeight="1">
      <c r="A312" s="28" t="s">
        <v>372</v>
      </c>
      <c r="B312" s="29" t="s">
        <v>27</v>
      </c>
      <c r="C312" s="29" t="s">
        <v>28</v>
      </c>
      <c r="D312" s="29">
        <v>3648.38</v>
      </c>
      <c r="E312" s="29">
        <v>0.09</v>
      </c>
      <c r="F312" s="29">
        <v>9</v>
      </c>
      <c r="G312" s="30">
        <v>45048</v>
      </c>
      <c r="H312" s="30">
        <v>45051</v>
      </c>
      <c r="I312" s="29" t="s">
        <v>22</v>
      </c>
      <c r="J312" s="29" t="s">
        <v>23</v>
      </c>
      <c r="K312" s="29">
        <v>1033.49</v>
      </c>
      <c r="L312" s="28" t="s">
        <v>118</v>
      </c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</row>
    <row r="313" spans="1:24" ht="14.25" customHeight="1">
      <c r="A313" s="28" t="s">
        <v>373</v>
      </c>
      <c r="B313" s="29" t="s">
        <v>35</v>
      </c>
      <c r="C313" s="29" t="s">
        <v>47</v>
      </c>
      <c r="D313" s="29">
        <v>468.67</v>
      </c>
      <c r="E313" s="29">
        <v>0.3</v>
      </c>
      <c r="F313" s="29">
        <v>4</v>
      </c>
      <c r="G313" s="30">
        <v>45562</v>
      </c>
      <c r="H313" s="30">
        <v>45564</v>
      </c>
      <c r="I313" s="29" t="s">
        <v>22</v>
      </c>
      <c r="J313" s="29" t="s">
        <v>17</v>
      </c>
      <c r="K313" s="29">
        <v>116.61</v>
      </c>
      <c r="L313" s="28" t="s">
        <v>74</v>
      </c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</row>
    <row r="314" spans="1:24" ht="14.25" customHeight="1">
      <c r="A314" s="28" t="s">
        <v>374</v>
      </c>
      <c r="B314" s="29" t="s">
        <v>14</v>
      </c>
      <c r="C314" s="29" t="s">
        <v>28</v>
      </c>
      <c r="D314" s="29">
        <v>3032.88</v>
      </c>
      <c r="E314" s="29">
        <v>0.01</v>
      </c>
      <c r="F314" s="29">
        <v>5</v>
      </c>
      <c r="G314" s="30">
        <v>45301</v>
      </c>
      <c r="H314" s="30">
        <v>45308</v>
      </c>
      <c r="I314" s="29" t="s">
        <v>42</v>
      </c>
      <c r="J314" s="29" t="s">
        <v>23</v>
      </c>
      <c r="K314" s="29">
        <v>309.11</v>
      </c>
      <c r="L314" s="28" t="s">
        <v>82</v>
      </c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</row>
    <row r="315" spans="1:24" ht="14.25" customHeight="1">
      <c r="A315" s="28" t="s">
        <v>375</v>
      </c>
      <c r="B315" s="29" t="s">
        <v>20</v>
      </c>
      <c r="C315" s="29" t="s">
        <v>28</v>
      </c>
      <c r="D315" s="29">
        <v>975.4</v>
      </c>
      <c r="E315" s="29">
        <v>0.4</v>
      </c>
      <c r="F315" s="29">
        <v>5</v>
      </c>
      <c r="G315" s="30">
        <v>45483</v>
      </c>
      <c r="H315" s="30">
        <v>45486</v>
      </c>
      <c r="I315" s="29" t="s">
        <v>42</v>
      </c>
      <c r="J315" s="29" t="s">
        <v>17</v>
      </c>
      <c r="K315" s="29">
        <v>237.24</v>
      </c>
      <c r="L315" s="28" t="s">
        <v>77</v>
      </c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</row>
    <row r="316" spans="1:24" ht="14.25" customHeight="1">
      <c r="A316" s="28" t="s">
        <v>376</v>
      </c>
      <c r="B316" s="29" t="s">
        <v>27</v>
      </c>
      <c r="C316" s="29" t="s">
        <v>15</v>
      </c>
      <c r="D316" s="29">
        <v>813.96</v>
      </c>
      <c r="E316" s="29">
        <v>0.45</v>
      </c>
      <c r="F316" s="29">
        <v>3</v>
      </c>
      <c r="G316" s="30">
        <v>44942</v>
      </c>
      <c r="H316" s="30">
        <v>44944</v>
      </c>
      <c r="I316" s="29" t="s">
        <v>42</v>
      </c>
      <c r="J316" s="29" t="s">
        <v>29</v>
      </c>
      <c r="K316" s="29">
        <v>108.85</v>
      </c>
      <c r="L316" s="28" t="s">
        <v>77</v>
      </c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</row>
    <row r="317" spans="1:24" ht="14.25" customHeight="1">
      <c r="A317" s="28" t="s">
        <v>377</v>
      </c>
      <c r="B317" s="29" t="s">
        <v>35</v>
      </c>
      <c r="C317" s="29" t="s">
        <v>47</v>
      </c>
      <c r="D317" s="29">
        <v>120.19</v>
      </c>
      <c r="E317" s="29">
        <v>0.25</v>
      </c>
      <c r="F317" s="29">
        <v>3</v>
      </c>
      <c r="G317" s="30">
        <v>45364</v>
      </c>
      <c r="H317" s="30">
        <v>45370</v>
      </c>
      <c r="I317" s="29" t="s">
        <v>42</v>
      </c>
      <c r="J317" s="29" t="s">
        <v>17</v>
      </c>
      <c r="K317" s="29">
        <v>24.31</v>
      </c>
      <c r="L317" s="28" t="s">
        <v>113</v>
      </c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</row>
    <row r="318" spans="1:24" ht="14.25" customHeight="1">
      <c r="A318" s="28" t="s">
        <v>378</v>
      </c>
      <c r="B318" s="29" t="s">
        <v>14</v>
      </c>
      <c r="C318" s="29" t="s">
        <v>28</v>
      </c>
      <c r="D318" s="29">
        <v>4710.2</v>
      </c>
      <c r="E318" s="29">
        <v>0.35</v>
      </c>
      <c r="F318" s="29">
        <v>1</v>
      </c>
      <c r="G318" s="30">
        <v>45275</v>
      </c>
      <c r="H318" s="30">
        <v>45280</v>
      </c>
      <c r="I318" s="29" t="s">
        <v>42</v>
      </c>
      <c r="J318" s="29" t="s">
        <v>29</v>
      </c>
      <c r="K318" s="29">
        <v>762.19</v>
      </c>
      <c r="L318" s="28" t="s">
        <v>25</v>
      </c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</row>
    <row r="319" spans="1:24" ht="14.25" customHeight="1">
      <c r="A319" s="28" t="s">
        <v>379</v>
      </c>
      <c r="B319" s="29" t="s">
        <v>20</v>
      </c>
      <c r="C319" s="29" t="s">
        <v>15</v>
      </c>
      <c r="D319" s="29">
        <v>4163.34</v>
      </c>
      <c r="E319" s="29">
        <v>0.23</v>
      </c>
      <c r="F319" s="29">
        <v>4</v>
      </c>
      <c r="G319" s="30">
        <v>45136</v>
      </c>
      <c r="H319" s="30">
        <v>45141</v>
      </c>
      <c r="I319" s="29" t="s">
        <v>22</v>
      </c>
      <c r="J319" s="29" t="s">
        <v>23</v>
      </c>
      <c r="K319" s="29">
        <v>468.81</v>
      </c>
      <c r="L319" s="28" t="s">
        <v>84</v>
      </c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</row>
    <row r="320" spans="1:24" ht="14.25" customHeight="1">
      <c r="A320" s="28" t="s">
        <v>380</v>
      </c>
      <c r="B320" s="29" t="s">
        <v>27</v>
      </c>
      <c r="C320" s="29" t="s">
        <v>47</v>
      </c>
      <c r="D320" s="29">
        <v>479.63</v>
      </c>
      <c r="E320" s="29">
        <v>0.15</v>
      </c>
      <c r="F320" s="29">
        <v>9</v>
      </c>
      <c r="G320" s="30">
        <v>45086</v>
      </c>
      <c r="H320" s="30">
        <v>45089</v>
      </c>
      <c r="I320" s="29" t="s">
        <v>16</v>
      </c>
      <c r="J320" s="29" t="s">
        <v>17</v>
      </c>
      <c r="K320" s="29">
        <v>102.29</v>
      </c>
      <c r="L320" s="28" t="s">
        <v>77</v>
      </c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</row>
    <row r="321" spans="1:24" ht="14.25" customHeight="1">
      <c r="A321" s="28" t="s">
        <v>381</v>
      </c>
      <c r="B321" s="29" t="s">
        <v>35</v>
      </c>
      <c r="C321" s="29" t="s">
        <v>21</v>
      </c>
      <c r="D321" s="29">
        <v>3036.94</v>
      </c>
      <c r="E321" s="29">
        <v>0.08</v>
      </c>
      <c r="F321" s="29">
        <v>2</v>
      </c>
      <c r="G321" s="30">
        <v>45211</v>
      </c>
      <c r="H321" s="30">
        <v>45214</v>
      </c>
      <c r="I321" s="29" t="s">
        <v>22</v>
      </c>
      <c r="J321" s="29" t="s">
        <v>17</v>
      </c>
      <c r="K321" s="29">
        <v>697.79</v>
      </c>
      <c r="L321" s="28" t="s">
        <v>56</v>
      </c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</row>
    <row r="322" spans="1:24" ht="14.25" customHeight="1">
      <c r="A322" s="28" t="s">
        <v>382</v>
      </c>
      <c r="B322" s="29" t="s">
        <v>14</v>
      </c>
      <c r="C322" s="29" t="s">
        <v>15</v>
      </c>
      <c r="D322" s="29">
        <v>1241.2</v>
      </c>
      <c r="E322" s="29">
        <v>0.26</v>
      </c>
      <c r="F322" s="29">
        <v>4</v>
      </c>
      <c r="G322" s="30">
        <v>44978</v>
      </c>
      <c r="H322" s="30">
        <v>44981</v>
      </c>
      <c r="I322" s="29" t="s">
        <v>42</v>
      </c>
      <c r="J322" s="29" t="s">
        <v>29</v>
      </c>
      <c r="K322" s="29">
        <v>226</v>
      </c>
      <c r="L322" s="28" t="s">
        <v>77</v>
      </c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</row>
    <row r="323" spans="1:24" ht="14.25" customHeight="1">
      <c r="A323" s="28" t="s">
        <v>383</v>
      </c>
      <c r="B323" s="29" t="s">
        <v>20</v>
      </c>
      <c r="C323" s="29" t="s">
        <v>52</v>
      </c>
      <c r="D323" s="29">
        <v>1393.68</v>
      </c>
      <c r="E323" s="29">
        <v>0.46</v>
      </c>
      <c r="F323" s="29">
        <v>9</v>
      </c>
      <c r="G323" s="30">
        <v>45007</v>
      </c>
      <c r="H323" s="30">
        <v>45014</v>
      </c>
      <c r="I323" s="29" t="s">
        <v>22</v>
      </c>
      <c r="J323" s="29" t="s">
        <v>23</v>
      </c>
      <c r="K323" s="29">
        <v>126.14</v>
      </c>
      <c r="L323" s="28" t="s">
        <v>118</v>
      </c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</row>
    <row r="324" spans="1:24" ht="14.25" customHeight="1">
      <c r="A324" s="28" t="s">
        <v>384</v>
      </c>
      <c r="B324" s="29" t="s">
        <v>27</v>
      </c>
      <c r="C324" s="29" t="s">
        <v>47</v>
      </c>
      <c r="D324" s="29">
        <v>4383.43</v>
      </c>
      <c r="E324" s="29">
        <v>0.44</v>
      </c>
      <c r="F324" s="29">
        <v>9</v>
      </c>
      <c r="G324" s="30">
        <v>45307</v>
      </c>
      <c r="H324" s="30">
        <v>45311</v>
      </c>
      <c r="I324" s="29" t="s">
        <v>16</v>
      </c>
      <c r="J324" s="29" t="s">
        <v>29</v>
      </c>
      <c r="K324" s="29">
        <v>761.11</v>
      </c>
      <c r="L324" s="28" t="s">
        <v>56</v>
      </c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</row>
    <row r="325" spans="1:24" ht="14.25" customHeight="1">
      <c r="A325" s="28" t="s">
        <v>385</v>
      </c>
      <c r="B325" s="29" t="s">
        <v>35</v>
      </c>
      <c r="C325" s="29" t="s">
        <v>28</v>
      </c>
      <c r="D325" s="29">
        <v>660.2</v>
      </c>
      <c r="E325" s="29">
        <v>0.46</v>
      </c>
      <c r="F325" s="29">
        <v>8</v>
      </c>
      <c r="G325" s="30">
        <v>45278</v>
      </c>
      <c r="H325" s="30">
        <v>45279</v>
      </c>
      <c r="I325" s="29" t="s">
        <v>22</v>
      </c>
      <c r="J325" s="29" t="s">
        <v>23</v>
      </c>
      <c r="K325" s="29">
        <v>159.93</v>
      </c>
      <c r="L325" s="28" t="s">
        <v>24</v>
      </c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</row>
    <row r="326" spans="1:24" ht="14.25" customHeight="1">
      <c r="A326" s="28" t="s">
        <v>386</v>
      </c>
      <c r="B326" s="29" t="s">
        <v>14</v>
      </c>
      <c r="C326" s="29" t="s">
        <v>28</v>
      </c>
      <c r="D326" s="29">
        <v>3047.3</v>
      </c>
      <c r="E326" s="29">
        <v>0.48</v>
      </c>
      <c r="F326" s="29">
        <v>2</v>
      </c>
      <c r="G326" s="30">
        <v>45211</v>
      </c>
      <c r="H326" s="30">
        <v>45215</v>
      </c>
      <c r="I326" s="29" t="s">
        <v>42</v>
      </c>
      <c r="J326" s="29" t="s">
        <v>29</v>
      </c>
      <c r="K326" s="29">
        <v>797.25</v>
      </c>
      <c r="L326" s="28" t="s">
        <v>113</v>
      </c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</row>
    <row r="327" spans="1:24" ht="14.25" customHeight="1">
      <c r="A327" s="28" t="s">
        <v>387</v>
      </c>
      <c r="B327" s="29" t="s">
        <v>20</v>
      </c>
      <c r="C327" s="29" t="s">
        <v>52</v>
      </c>
      <c r="D327" s="29">
        <v>2066.15</v>
      </c>
      <c r="E327" s="29">
        <v>0.08</v>
      </c>
      <c r="F327" s="29">
        <v>3</v>
      </c>
      <c r="G327" s="30">
        <v>45416</v>
      </c>
      <c r="H327" s="30">
        <v>45420</v>
      </c>
      <c r="I327" s="29" t="s">
        <v>42</v>
      </c>
      <c r="J327" s="29" t="s">
        <v>29</v>
      </c>
      <c r="K327" s="29">
        <v>117.23</v>
      </c>
      <c r="L327" s="28" t="s">
        <v>74</v>
      </c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</row>
    <row r="328" spans="1:24" ht="14.25" customHeight="1">
      <c r="A328" s="28" t="s">
        <v>388</v>
      </c>
      <c r="B328" s="29" t="s">
        <v>27</v>
      </c>
      <c r="C328" s="29" t="s">
        <v>52</v>
      </c>
      <c r="D328" s="29">
        <v>1034.92</v>
      </c>
      <c r="E328" s="29">
        <v>7.0000000000000007E-2</v>
      </c>
      <c r="F328" s="29">
        <v>6</v>
      </c>
      <c r="G328" s="30">
        <v>45313</v>
      </c>
      <c r="H328" s="30">
        <v>45318</v>
      </c>
      <c r="I328" s="29" t="s">
        <v>42</v>
      </c>
      <c r="J328" s="29" t="s">
        <v>29</v>
      </c>
      <c r="K328" s="29">
        <v>100.03</v>
      </c>
      <c r="L328" s="28" t="s">
        <v>37</v>
      </c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</row>
    <row r="329" spans="1:24" ht="14.25" customHeight="1">
      <c r="A329" s="28" t="s">
        <v>389</v>
      </c>
      <c r="B329" s="29" t="s">
        <v>35</v>
      </c>
      <c r="C329" s="29" t="s">
        <v>28</v>
      </c>
      <c r="D329" s="29">
        <v>2314.4</v>
      </c>
      <c r="E329" s="29">
        <v>0.21</v>
      </c>
      <c r="F329" s="29">
        <v>2</v>
      </c>
      <c r="G329" s="30">
        <v>45361</v>
      </c>
      <c r="H329" s="30">
        <v>45367</v>
      </c>
      <c r="I329" s="29" t="s">
        <v>16</v>
      </c>
      <c r="J329" s="29" t="s">
        <v>17</v>
      </c>
      <c r="K329" s="29">
        <v>653.86</v>
      </c>
      <c r="L329" s="28" t="s">
        <v>59</v>
      </c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</row>
    <row r="330" spans="1:24" ht="14.25" customHeight="1">
      <c r="A330" s="28" t="s">
        <v>390</v>
      </c>
      <c r="B330" s="29" t="s">
        <v>14</v>
      </c>
      <c r="C330" s="29" t="s">
        <v>47</v>
      </c>
      <c r="D330" s="29">
        <v>4708.3999999999996</v>
      </c>
      <c r="E330" s="29">
        <v>0.34</v>
      </c>
      <c r="F330" s="29">
        <v>3</v>
      </c>
      <c r="G330" s="30">
        <v>45506</v>
      </c>
      <c r="H330" s="30">
        <v>45511</v>
      </c>
      <c r="I330" s="29" t="s">
        <v>42</v>
      </c>
      <c r="J330" s="29" t="s">
        <v>17</v>
      </c>
      <c r="K330" s="29">
        <v>1155.56</v>
      </c>
      <c r="L330" s="28" t="s">
        <v>77</v>
      </c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</row>
    <row r="331" spans="1:24" ht="14.25" customHeight="1">
      <c r="A331" s="28" t="s">
        <v>391</v>
      </c>
      <c r="B331" s="29" t="s">
        <v>20</v>
      </c>
      <c r="C331" s="29" t="s">
        <v>15</v>
      </c>
      <c r="D331" s="29">
        <v>3929.89</v>
      </c>
      <c r="E331" s="29">
        <v>0.22</v>
      </c>
      <c r="F331" s="29">
        <v>1</v>
      </c>
      <c r="G331" s="30">
        <v>44970</v>
      </c>
      <c r="H331" s="30">
        <v>44973</v>
      </c>
      <c r="I331" s="29" t="s">
        <v>42</v>
      </c>
      <c r="J331" s="29" t="s">
        <v>29</v>
      </c>
      <c r="K331" s="29">
        <v>902.41</v>
      </c>
      <c r="L331" s="28" t="s">
        <v>25</v>
      </c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</row>
    <row r="332" spans="1:24" ht="14.25" customHeight="1">
      <c r="A332" s="28" t="s">
        <v>392</v>
      </c>
      <c r="B332" s="29" t="s">
        <v>27</v>
      </c>
      <c r="C332" s="29" t="s">
        <v>52</v>
      </c>
      <c r="D332" s="29">
        <v>747.35</v>
      </c>
      <c r="E332" s="29">
        <v>0.45</v>
      </c>
      <c r="F332" s="29">
        <v>4</v>
      </c>
      <c r="G332" s="30">
        <v>45433</v>
      </c>
      <c r="H332" s="30">
        <v>45438</v>
      </c>
      <c r="I332" s="29" t="s">
        <v>42</v>
      </c>
      <c r="J332" s="29" t="s">
        <v>23</v>
      </c>
      <c r="K332" s="29">
        <v>63.14</v>
      </c>
      <c r="L332" s="28" t="s">
        <v>74</v>
      </c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</row>
    <row r="333" spans="1:24" ht="14.25" customHeight="1">
      <c r="A333" s="28" t="s">
        <v>393</v>
      </c>
      <c r="B333" s="29" t="s">
        <v>35</v>
      </c>
      <c r="C333" s="29" t="s">
        <v>52</v>
      </c>
      <c r="D333" s="29">
        <v>4262.21</v>
      </c>
      <c r="E333" s="29">
        <v>0.36</v>
      </c>
      <c r="F333" s="29">
        <v>6</v>
      </c>
      <c r="G333" s="30">
        <v>45588</v>
      </c>
      <c r="H333" s="30">
        <v>45591</v>
      </c>
      <c r="I333" s="29" t="s">
        <v>42</v>
      </c>
      <c r="J333" s="29" t="s">
        <v>17</v>
      </c>
      <c r="K333" s="29">
        <v>217.76</v>
      </c>
      <c r="L333" s="28" t="s">
        <v>18</v>
      </c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</row>
    <row r="334" spans="1:24" ht="14.25" customHeight="1">
      <c r="A334" s="28" t="s">
        <v>394</v>
      </c>
      <c r="B334" s="29" t="s">
        <v>14</v>
      </c>
      <c r="C334" s="29" t="s">
        <v>52</v>
      </c>
      <c r="D334" s="29">
        <v>4693.46</v>
      </c>
      <c r="E334" s="29">
        <v>0.32</v>
      </c>
      <c r="F334" s="29">
        <v>1</v>
      </c>
      <c r="G334" s="30">
        <v>45096</v>
      </c>
      <c r="H334" s="30">
        <v>45102</v>
      </c>
      <c r="I334" s="29" t="s">
        <v>22</v>
      </c>
      <c r="J334" s="29" t="s">
        <v>29</v>
      </c>
      <c r="K334" s="29">
        <v>925.54</v>
      </c>
      <c r="L334" s="28" t="s">
        <v>59</v>
      </c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</row>
    <row r="335" spans="1:24" ht="14.25" customHeight="1">
      <c r="A335" s="28" t="s">
        <v>395</v>
      </c>
      <c r="B335" s="29" t="s">
        <v>20</v>
      </c>
      <c r="C335" s="29" t="s">
        <v>21</v>
      </c>
      <c r="D335" s="29">
        <v>1457.12</v>
      </c>
      <c r="E335" s="29">
        <v>0.04</v>
      </c>
      <c r="F335" s="29">
        <v>1</v>
      </c>
      <c r="G335" s="30">
        <v>45001</v>
      </c>
      <c r="H335" s="30">
        <v>45007</v>
      </c>
      <c r="I335" s="29" t="s">
        <v>42</v>
      </c>
      <c r="J335" s="29" t="s">
        <v>23</v>
      </c>
      <c r="K335" s="29">
        <v>388.34</v>
      </c>
      <c r="L335" s="28" t="s">
        <v>74</v>
      </c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</row>
    <row r="336" spans="1:24" ht="14.25" customHeight="1">
      <c r="A336" s="28" t="s">
        <v>396</v>
      </c>
      <c r="B336" s="29" t="s">
        <v>27</v>
      </c>
      <c r="C336" s="29" t="s">
        <v>47</v>
      </c>
      <c r="D336" s="29">
        <v>1733.76</v>
      </c>
      <c r="E336" s="29">
        <v>0.09</v>
      </c>
      <c r="F336" s="29">
        <v>8</v>
      </c>
      <c r="G336" s="30">
        <v>44934</v>
      </c>
      <c r="H336" s="30">
        <v>44938</v>
      </c>
      <c r="I336" s="29" t="s">
        <v>22</v>
      </c>
      <c r="J336" s="29" t="s">
        <v>23</v>
      </c>
      <c r="K336" s="29">
        <v>117.57</v>
      </c>
      <c r="L336" s="28" t="s">
        <v>118</v>
      </c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</row>
    <row r="337" spans="1:24" ht="14.25" customHeight="1">
      <c r="A337" s="28" t="s">
        <v>397</v>
      </c>
      <c r="B337" s="29" t="s">
        <v>35</v>
      </c>
      <c r="C337" s="29" t="s">
        <v>47</v>
      </c>
      <c r="D337" s="29">
        <v>718.92</v>
      </c>
      <c r="E337" s="29">
        <v>0.21</v>
      </c>
      <c r="F337" s="29">
        <v>7</v>
      </c>
      <c r="G337" s="30">
        <v>45401</v>
      </c>
      <c r="H337" s="30">
        <v>45402</v>
      </c>
      <c r="I337" s="29" t="s">
        <v>16</v>
      </c>
      <c r="J337" s="29" t="s">
        <v>23</v>
      </c>
      <c r="K337" s="29">
        <v>48.42</v>
      </c>
      <c r="L337" s="28" t="s">
        <v>118</v>
      </c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</row>
    <row r="338" spans="1:24" ht="14.25" customHeight="1">
      <c r="A338" s="28" t="s">
        <v>398</v>
      </c>
      <c r="B338" s="29" t="s">
        <v>14</v>
      </c>
      <c r="C338" s="29" t="s">
        <v>47</v>
      </c>
      <c r="D338" s="29">
        <v>1790.21</v>
      </c>
      <c r="E338" s="29">
        <v>0.49</v>
      </c>
      <c r="F338" s="29">
        <v>7</v>
      </c>
      <c r="G338" s="30">
        <v>45098</v>
      </c>
      <c r="H338" s="30">
        <v>45103</v>
      </c>
      <c r="I338" s="29" t="s">
        <v>22</v>
      </c>
      <c r="J338" s="29" t="s">
        <v>29</v>
      </c>
      <c r="K338" s="29">
        <v>536.41999999999996</v>
      </c>
      <c r="L338" s="28" t="s">
        <v>18</v>
      </c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</row>
    <row r="339" spans="1:24" ht="14.25" customHeight="1">
      <c r="A339" s="28" t="s">
        <v>399</v>
      </c>
      <c r="B339" s="29" t="s">
        <v>20</v>
      </c>
      <c r="C339" s="29" t="s">
        <v>47</v>
      </c>
      <c r="D339" s="29">
        <v>3398.39</v>
      </c>
      <c r="E339" s="29">
        <v>0.17</v>
      </c>
      <c r="F339" s="29">
        <v>7</v>
      </c>
      <c r="G339" s="30">
        <v>45363</v>
      </c>
      <c r="H339" s="30">
        <v>45367</v>
      </c>
      <c r="I339" s="29" t="s">
        <v>22</v>
      </c>
      <c r="J339" s="29" t="s">
        <v>17</v>
      </c>
      <c r="K339" s="29">
        <v>370.75</v>
      </c>
      <c r="L339" s="28" t="s">
        <v>82</v>
      </c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</row>
    <row r="340" spans="1:24" ht="14.25" customHeight="1">
      <c r="A340" s="28" t="s">
        <v>400</v>
      </c>
      <c r="B340" s="29" t="s">
        <v>27</v>
      </c>
      <c r="C340" s="29" t="s">
        <v>47</v>
      </c>
      <c r="D340" s="29">
        <v>1433.56</v>
      </c>
      <c r="E340" s="29">
        <v>0.31</v>
      </c>
      <c r="F340" s="29">
        <v>5</v>
      </c>
      <c r="G340" s="30">
        <v>45563</v>
      </c>
      <c r="H340" s="30">
        <v>45569</v>
      </c>
      <c r="I340" s="29" t="s">
        <v>22</v>
      </c>
      <c r="J340" s="29" t="s">
        <v>23</v>
      </c>
      <c r="K340" s="29">
        <v>310.11</v>
      </c>
      <c r="L340" s="28" t="s">
        <v>63</v>
      </c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</row>
    <row r="341" spans="1:24" ht="14.25" customHeight="1">
      <c r="A341" s="28" t="s">
        <v>401</v>
      </c>
      <c r="B341" s="29" t="s">
        <v>35</v>
      </c>
      <c r="C341" s="29" t="s">
        <v>28</v>
      </c>
      <c r="D341" s="29">
        <v>133.44</v>
      </c>
      <c r="E341" s="29">
        <v>0.49</v>
      </c>
      <c r="F341" s="29">
        <v>4</v>
      </c>
      <c r="G341" s="30">
        <v>45652</v>
      </c>
      <c r="H341" s="30">
        <v>45655</v>
      </c>
      <c r="I341" s="29" t="s">
        <v>22</v>
      </c>
      <c r="J341" s="29" t="s">
        <v>29</v>
      </c>
      <c r="K341" s="29">
        <v>25.28</v>
      </c>
      <c r="L341" s="28" t="s">
        <v>74</v>
      </c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</row>
    <row r="342" spans="1:24" ht="14.25" customHeight="1">
      <c r="A342" s="28" t="s">
        <v>402</v>
      </c>
      <c r="B342" s="29" t="s">
        <v>14</v>
      </c>
      <c r="C342" s="29" t="s">
        <v>52</v>
      </c>
      <c r="D342" s="29">
        <v>1758.87</v>
      </c>
      <c r="E342" s="29">
        <v>0.13</v>
      </c>
      <c r="F342" s="29">
        <v>7</v>
      </c>
      <c r="G342" s="30">
        <v>45377</v>
      </c>
      <c r="H342" s="30">
        <v>45382</v>
      </c>
      <c r="I342" s="29" t="s">
        <v>22</v>
      </c>
      <c r="J342" s="29" t="s">
        <v>29</v>
      </c>
      <c r="K342" s="29">
        <v>270.22000000000003</v>
      </c>
      <c r="L342" s="28" t="s">
        <v>36</v>
      </c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</row>
    <row r="343" spans="1:24" ht="14.25" customHeight="1">
      <c r="A343" s="28" t="s">
        <v>403</v>
      </c>
      <c r="B343" s="29" t="s">
        <v>20</v>
      </c>
      <c r="C343" s="29" t="s">
        <v>28</v>
      </c>
      <c r="D343" s="29">
        <v>2320.5500000000002</v>
      </c>
      <c r="E343" s="29">
        <v>0.08</v>
      </c>
      <c r="F343" s="29">
        <v>3</v>
      </c>
      <c r="G343" s="30">
        <v>45577</v>
      </c>
      <c r="H343" s="30">
        <v>45583</v>
      </c>
      <c r="I343" s="29" t="s">
        <v>22</v>
      </c>
      <c r="J343" s="29" t="s">
        <v>29</v>
      </c>
      <c r="K343" s="29">
        <v>581.83000000000004</v>
      </c>
      <c r="L343" s="28" t="s">
        <v>74</v>
      </c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</row>
    <row r="344" spans="1:24" ht="14.25" customHeight="1">
      <c r="A344" s="28" t="s">
        <v>404</v>
      </c>
      <c r="B344" s="29" t="s">
        <v>27</v>
      </c>
      <c r="C344" s="29" t="s">
        <v>21</v>
      </c>
      <c r="D344" s="29">
        <v>2875.14</v>
      </c>
      <c r="E344" s="29">
        <v>0.27</v>
      </c>
      <c r="F344" s="29">
        <v>9</v>
      </c>
      <c r="G344" s="30">
        <v>45593</v>
      </c>
      <c r="H344" s="30">
        <v>45600</v>
      </c>
      <c r="I344" s="29" t="s">
        <v>16</v>
      </c>
      <c r="J344" s="29" t="s">
        <v>29</v>
      </c>
      <c r="K344" s="29">
        <v>314.73</v>
      </c>
      <c r="L344" s="28" t="s">
        <v>36</v>
      </c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</row>
    <row r="345" spans="1:24" ht="14.25" customHeight="1">
      <c r="A345" s="28" t="s">
        <v>405</v>
      </c>
      <c r="B345" s="29" t="s">
        <v>35</v>
      </c>
      <c r="C345" s="29" t="s">
        <v>15</v>
      </c>
      <c r="D345" s="29">
        <v>3450.74</v>
      </c>
      <c r="E345" s="29">
        <v>0.28000000000000003</v>
      </c>
      <c r="F345" s="29">
        <v>2</v>
      </c>
      <c r="G345" s="30">
        <v>45573</v>
      </c>
      <c r="H345" s="30">
        <v>45574</v>
      </c>
      <c r="I345" s="29" t="s">
        <v>42</v>
      </c>
      <c r="J345" s="29" t="s">
        <v>29</v>
      </c>
      <c r="K345" s="29">
        <v>413.97</v>
      </c>
      <c r="L345" s="28" t="s">
        <v>70</v>
      </c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</row>
    <row r="346" spans="1:24" ht="14.25" customHeight="1">
      <c r="A346" s="28" t="s">
        <v>406</v>
      </c>
      <c r="B346" s="29" t="s">
        <v>14</v>
      </c>
      <c r="C346" s="29" t="s">
        <v>52</v>
      </c>
      <c r="D346" s="29">
        <v>402.74</v>
      </c>
      <c r="E346" s="29">
        <v>0.46</v>
      </c>
      <c r="F346" s="29">
        <v>1</v>
      </c>
      <c r="G346" s="30">
        <v>45421</v>
      </c>
      <c r="H346" s="30">
        <v>45426</v>
      </c>
      <c r="I346" s="29" t="s">
        <v>16</v>
      </c>
      <c r="J346" s="29" t="s">
        <v>17</v>
      </c>
      <c r="K346" s="29">
        <v>46.96</v>
      </c>
      <c r="L346" s="28" t="s">
        <v>113</v>
      </c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</row>
    <row r="347" spans="1:24" ht="14.25" customHeight="1">
      <c r="A347" s="28" t="s">
        <v>407</v>
      </c>
      <c r="B347" s="29" t="s">
        <v>20</v>
      </c>
      <c r="C347" s="29" t="s">
        <v>21</v>
      </c>
      <c r="D347" s="29">
        <v>2401.7800000000002</v>
      </c>
      <c r="E347" s="29">
        <v>0.01</v>
      </c>
      <c r="F347" s="29">
        <v>8</v>
      </c>
      <c r="G347" s="30">
        <v>45385</v>
      </c>
      <c r="H347" s="30">
        <v>45388</v>
      </c>
      <c r="I347" s="29" t="s">
        <v>22</v>
      </c>
      <c r="J347" s="29" t="s">
        <v>17</v>
      </c>
      <c r="K347" s="29">
        <v>448.63</v>
      </c>
      <c r="L347" s="28" t="s">
        <v>77</v>
      </c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</row>
    <row r="348" spans="1:24" ht="14.25" customHeight="1">
      <c r="A348" s="28" t="s">
        <v>408</v>
      </c>
      <c r="B348" s="29" t="s">
        <v>27</v>
      </c>
      <c r="C348" s="29" t="s">
        <v>28</v>
      </c>
      <c r="D348" s="29">
        <v>1405.18</v>
      </c>
      <c r="E348" s="29">
        <v>0.2</v>
      </c>
      <c r="F348" s="29">
        <v>6</v>
      </c>
      <c r="G348" s="30">
        <v>45111</v>
      </c>
      <c r="H348" s="30">
        <v>45115</v>
      </c>
      <c r="I348" s="29" t="s">
        <v>22</v>
      </c>
      <c r="J348" s="29" t="s">
        <v>29</v>
      </c>
      <c r="K348" s="29">
        <v>300.73</v>
      </c>
      <c r="L348" s="28" t="s">
        <v>70</v>
      </c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</row>
    <row r="349" spans="1:24" ht="14.25" customHeight="1">
      <c r="A349" s="28" t="s">
        <v>409</v>
      </c>
      <c r="B349" s="29" t="s">
        <v>35</v>
      </c>
      <c r="C349" s="29" t="s">
        <v>15</v>
      </c>
      <c r="D349" s="29">
        <v>4745.05</v>
      </c>
      <c r="E349" s="29">
        <v>0.16</v>
      </c>
      <c r="F349" s="29">
        <v>4</v>
      </c>
      <c r="G349" s="30">
        <v>45655</v>
      </c>
      <c r="H349" s="30">
        <v>45661</v>
      </c>
      <c r="I349" s="29" t="s">
        <v>22</v>
      </c>
      <c r="J349" s="29" t="s">
        <v>17</v>
      </c>
      <c r="K349" s="29">
        <v>347.16</v>
      </c>
      <c r="L349" s="28" t="s">
        <v>59</v>
      </c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</row>
    <row r="350" spans="1:24" ht="14.25" customHeight="1">
      <c r="A350" s="28" t="s">
        <v>410</v>
      </c>
      <c r="B350" s="29" t="s">
        <v>14</v>
      </c>
      <c r="C350" s="29" t="s">
        <v>21</v>
      </c>
      <c r="D350" s="29">
        <v>1863.5</v>
      </c>
      <c r="E350" s="29">
        <v>0.28999999999999998</v>
      </c>
      <c r="F350" s="29">
        <v>9</v>
      </c>
      <c r="G350" s="30">
        <v>45093</v>
      </c>
      <c r="H350" s="30">
        <v>45100</v>
      </c>
      <c r="I350" s="29" t="s">
        <v>16</v>
      </c>
      <c r="J350" s="29" t="s">
        <v>29</v>
      </c>
      <c r="K350" s="29">
        <v>161.51</v>
      </c>
      <c r="L350" s="28" t="s">
        <v>18</v>
      </c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</row>
    <row r="351" spans="1:24" ht="14.25" customHeight="1">
      <c r="A351" s="28" t="s">
        <v>411</v>
      </c>
      <c r="B351" s="29" t="s">
        <v>20</v>
      </c>
      <c r="C351" s="29" t="s">
        <v>15</v>
      </c>
      <c r="D351" s="29">
        <v>590.61</v>
      </c>
      <c r="E351" s="29">
        <v>0</v>
      </c>
      <c r="F351" s="29">
        <v>5</v>
      </c>
      <c r="G351" s="30">
        <v>45233</v>
      </c>
      <c r="H351" s="30">
        <v>45240</v>
      </c>
      <c r="I351" s="29" t="s">
        <v>22</v>
      </c>
      <c r="J351" s="29" t="s">
        <v>23</v>
      </c>
      <c r="K351" s="29">
        <v>46.99</v>
      </c>
      <c r="L351" s="28" t="s">
        <v>82</v>
      </c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</row>
    <row r="352" spans="1:24" ht="14.25" customHeight="1">
      <c r="A352" s="28" t="s">
        <v>412</v>
      </c>
      <c r="B352" s="29" t="s">
        <v>27</v>
      </c>
      <c r="C352" s="29" t="s">
        <v>21</v>
      </c>
      <c r="D352" s="29">
        <v>303.31</v>
      </c>
      <c r="E352" s="29">
        <v>0.36</v>
      </c>
      <c r="F352" s="29">
        <v>1</v>
      </c>
      <c r="G352" s="30">
        <v>45203</v>
      </c>
      <c r="H352" s="30">
        <v>45207</v>
      </c>
      <c r="I352" s="29" t="s">
        <v>16</v>
      </c>
      <c r="J352" s="29" t="s">
        <v>17</v>
      </c>
      <c r="K352" s="29">
        <v>64.56</v>
      </c>
      <c r="L352" s="28" t="s">
        <v>30</v>
      </c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</row>
    <row r="353" spans="1:24" ht="14.25" customHeight="1">
      <c r="A353" s="28" t="s">
        <v>413</v>
      </c>
      <c r="B353" s="29" t="s">
        <v>35</v>
      </c>
      <c r="C353" s="29" t="s">
        <v>28</v>
      </c>
      <c r="D353" s="29">
        <v>1400.49</v>
      </c>
      <c r="E353" s="29">
        <v>0.24</v>
      </c>
      <c r="F353" s="29">
        <v>1</v>
      </c>
      <c r="G353" s="30">
        <v>45016</v>
      </c>
      <c r="H353" s="30">
        <v>45017</v>
      </c>
      <c r="I353" s="29" t="s">
        <v>22</v>
      </c>
      <c r="J353" s="29" t="s">
        <v>17</v>
      </c>
      <c r="K353" s="29">
        <v>289</v>
      </c>
      <c r="L353" s="28" t="s">
        <v>25</v>
      </c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</row>
    <row r="354" spans="1:24" ht="14.25" customHeight="1">
      <c r="A354" s="28" t="s">
        <v>414</v>
      </c>
      <c r="B354" s="29" t="s">
        <v>14</v>
      </c>
      <c r="C354" s="29" t="s">
        <v>15</v>
      </c>
      <c r="D354" s="29">
        <v>976.51</v>
      </c>
      <c r="E354" s="29">
        <v>0.35</v>
      </c>
      <c r="F354" s="29">
        <v>7</v>
      </c>
      <c r="G354" s="30">
        <v>45145</v>
      </c>
      <c r="H354" s="30">
        <v>45146</v>
      </c>
      <c r="I354" s="29" t="s">
        <v>22</v>
      </c>
      <c r="J354" s="29" t="s">
        <v>29</v>
      </c>
      <c r="K354" s="29">
        <v>251.49</v>
      </c>
      <c r="L354" s="28" t="s">
        <v>74</v>
      </c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</row>
    <row r="355" spans="1:24" ht="14.25" customHeight="1">
      <c r="A355" s="28" t="s">
        <v>415</v>
      </c>
      <c r="B355" s="29" t="s">
        <v>20</v>
      </c>
      <c r="C355" s="29" t="s">
        <v>21</v>
      </c>
      <c r="D355" s="29">
        <v>3284.02</v>
      </c>
      <c r="E355" s="29">
        <v>0.22</v>
      </c>
      <c r="F355" s="29">
        <v>1</v>
      </c>
      <c r="G355" s="30">
        <v>45367</v>
      </c>
      <c r="H355" s="30">
        <v>45371</v>
      </c>
      <c r="I355" s="29" t="s">
        <v>16</v>
      </c>
      <c r="J355" s="29" t="s">
        <v>29</v>
      </c>
      <c r="K355" s="29">
        <v>399.43</v>
      </c>
      <c r="L355" s="28" t="s">
        <v>118</v>
      </c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</row>
    <row r="356" spans="1:24" ht="14.25" customHeight="1">
      <c r="A356" s="28" t="s">
        <v>416</v>
      </c>
      <c r="B356" s="29" t="s">
        <v>27</v>
      </c>
      <c r="C356" s="29" t="s">
        <v>28</v>
      </c>
      <c r="D356" s="29">
        <v>4250.1400000000003</v>
      </c>
      <c r="E356" s="29">
        <v>0.24</v>
      </c>
      <c r="F356" s="29">
        <v>6</v>
      </c>
      <c r="G356" s="30">
        <v>45617</v>
      </c>
      <c r="H356" s="30">
        <v>45619</v>
      </c>
      <c r="I356" s="29" t="s">
        <v>16</v>
      </c>
      <c r="J356" s="29" t="s">
        <v>17</v>
      </c>
      <c r="K356" s="29">
        <v>990.91</v>
      </c>
      <c r="L356" s="28" t="s">
        <v>118</v>
      </c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</row>
    <row r="357" spans="1:24" ht="14.25" customHeight="1">
      <c r="A357" s="28" t="s">
        <v>417</v>
      </c>
      <c r="B357" s="29" t="s">
        <v>35</v>
      </c>
      <c r="C357" s="29" t="s">
        <v>52</v>
      </c>
      <c r="D357" s="29">
        <v>1631.54</v>
      </c>
      <c r="E357" s="29">
        <v>0.45</v>
      </c>
      <c r="F357" s="29">
        <v>7</v>
      </c>
      <c r="G357" s="30">
        <v>45547</v>
      </c>
      <c r="H357" s="30">
        <v>45551</v>
      </c>
      <c r="I357" s="29" t="s">
        <v>16</v>
      </c>
      <c r="J357" s="29" t="s">
        <v>23</v>
      </c>
      <c r="K357" s="29">
        <v>197.89</v>
      </c>
      <c r="L357" s="28" t="s">
        <v>113</v>
      </c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</row>
    <row r="358" spans="1:24" ht="14.25" customHeight="1">
      <c r="A358" s="28" t="s">
        <v>418</v>
      </c>
      <c r="B358" s="29" t="s">
        <v>14</v>
      </c>
      <c r="C358" s="29" t="s">
        <v>28</v>
      </c>
      <c r="D358" s="29">
        <v>2931.18</v>
      </c>
      <c r="E358" s="29">
        <v>0.11</v>
      </c>
      <c r="F358" s="29">
        <v>5</v>
      </c>
      <c r="G358" s="30">
        <v>45555</v>
      </c>
      <c r="H358" s="30">
        <v>45558</v>
      </c>
      <c r="I358" s="29" t="s">
        <v>16</v>
      </c>
      <c r="J358" s="29" t="s">
        <v>17</v>
      </c>
      <c r="K358" s="29">
        <v>697.38</v>
      </c>
      <c r="L358" s="28" t="s">
        <v>70</v>
      </c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</row>
    <row r="359" spans="1:24" ht="14.25" customHeight="1">
      <c r="A359" s="28" t="s">
        <v>419</v>
      </c>
      <c r="B359" s="29" t="s">
        <v>20</v>
      </c>
      <c r="C359" s="29" t="s">
        <v>28</v>
      </c>
      <c r="D359" s="29">
        <v>3678.5</v>
      </c>
      <c r="E359" s="29">
        <v>0.11</v>
      </c>
      <c r="F359" s="29">
        <v>3</v>
      </c>
      <c r="G359" s="30">
        <v>45324</v>
      </c>
      <c r="H359" s="30">
        <v>45329</v>
      </c>
      <c r="I359" s="29" t="s">
        <v>22</v>
      </c>
      <c r="J359" s="29" t="s">
        <v>17</v>
      </c>
      <c r="K359" s="29">
        <v>743.04</v>
      </c>
      <c r="L359" s="28" t="s">
        <v>30</v>
      </c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</row>
    <row r="360" spans="1:24" ht="14.25" customHeight="1">
      <c r="A360" s="28" t="s">
        <v>420</v>
      </c>
      <c r="B360" s="29" t="s">
        <v>27</v>
      </c>
      <c r="C360" s="29" t="s">
        <v>52</v>
      </c>
      <c r="D360" s="29">
        <v>2052.59</v>
      </c>
      <c r="E360" s="29">
        <v>0.28000000000000003</v>
      </c>
      <c r="F360" s="29">
        <v>3</v>
      </c>
      <c r="G360" s="30">
        <v>45397</v>
      </c>
      <c r="H360" s="30">
        <v>45399</v>
      </c>
      <c r="I360" s="29" t="s">
        <v>22</v>
      </c>
      <c r="J360" s="29" t="s">
        <v>17</v>
      </c>
      <c r="K360" s="29">
        <v>315.05</v>
      </c>
      <c r="L360" s="28" t="s">
        <v>25</v>
      </c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</row>
    <row r="361" spans="1:24" ht="14.25" customHeight="1">
      <c r="A361" s="28" t="s">
        <v>421</v>
      </c>
      <c r="B361" s="29" t="s">
        <v>35</v>
      </c>
      <c r="C361" s="29" t="s">
        <v>28</v>
      </c>
      <c r="D361" s="29">
        <v>425</v>
      </c>
      <c r="E361" s="29">
        <v>0.33</v>
      </c>
      <c r="F361" s="29">
        <v>2</v>
      </c>
      <c r="G361" s="30">
        <v>45336</v>
      </c>
      <c r="H361" s="30">
        <v>45343</v>
      </c>
      <c r="I361" s="29" t="s">
        <v>42</v>
      </c>
      <c r="J361" s="29" t="s">
        <v>23</v>
      </c>
      <c r="K361" s="29">
        <v>88.73</v>
      </c>
      <c r="L361" s="28" t="s">
        <v>118</v>
      </c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</row>
    <row r="362" spans="1:24" ht="14.25" customHeight="1">
      <c r="A362" s="28" t="s">
        <v>422</v>
      </c>
      <c r="B362" s="29" t="s">
        <v>14</v>
      </c>
      <c r="C362" s="29" t="s">
        <v>52</v>
      </c>
      <c r="D362" s="29">
        <v>1223.01</v>
      </c>
      <c r="E362" s="29">
        <v>0.18</v>
      </c>
      <c r="F362" s="29">
        <v>1</v>
      </c>
      <c r="G362" s="30">
        <v>45544</v>
      </c>
      <c r="H362" s="30">
        <v>45548</v>
      </c>
      <c r="I362" s="29" t="s">
        <v>22</v>
      </c>
      <c r="J362" s="29" t="s">
        <v>23</v>
      </c>
      <c r="K362" s="29">
        <v>319.61</v>
      </c>
      <c r="L362" s="28" t="s">
        <v>74</v>
      </c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</row>
    <row r="363" spans="1:24" ht="14.25" customHeight="1">
      <c r="A363" s="28" t="s">
        <v>423</v>
      </c>
      <c r="B363" s="29" t="s">
        <v>20</v>
      </c>
      <c r="C363" s="29" t="s">
        <v>52</v>
      </c>
      <c r="D363" s="29">
        <v>4427.0200000000004</v>
      </c>
      <c r="E363" s="29">
        <v>0.26</v>
      </c>
      <c r="F363" s="29">
        <v>8</v>
      </c>
      <c r="G363" s="30">
        <v>45210</v>
      </c>
      <c r="H363" s="30">
        <v>45215</v>
      </c>
      <c r="I363" s="29" t="s">
        <v>22</v>
      </c>
      <c r="J363" s="29" t="s">
        <v>29</v>
      </c>
      <c r="K363" s="29">
        <v>466.97</v>
      </c>
      <c r="L363" s="28" t="s">
        <v>30</v>
      </c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</row>
    <row r="364" spans="1:24" ht="14.25" customHeight="1">
      <c r="A364" s="28" t="s">
        <v>424</v>
      </c>
      <c r="B364" s="29" t="s">
        <v>27</v>
      </c>
      <c r="C364" s="29" t="s">
        <v>52</v>
      </c>
      <c r="D364" s="29">
        <v>4139.95</v>
      </c>
      <c r="E364" s="29">
        <v>0.11</v>
      </c>
      <c r="F364" s="29">
        <v>9</v>
      </c>
      <c r="G364" s="30">
        <v>45157</v>
      </c>
      <c r="H364" s="30">
        <v>45163</v>
      </c>
      <c r="I364" s="29" t="s">
        <v>22</v>
      </c>
      <c r="J364" s="29" t="s">
        <v>17</v>
      </c>
      <c r="K364" s="29">
        <v>843.52</v>
      </c>
      <c r="L364" s="28" t="s">
        <v>82</v>
      </c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</row>
    <row r="365" spans="1:24" ht="14.25" customHeight="1">
      <c r="A365" s="28" t="s">
        <v>425</v>
      </c>
      <c r="B365" s="29" t="s">
        <v>35</v>
      </c>
      <c r="C365" s="29" t="s">
        <v>21</v>
      </c>
      <c r="D365" s="29">
        <v>524.01</v>
      </c>
      <c r="E365" s="29">
        <v>7.0000000000000007E-2</v>
      </c>
      <c r="F365" s="29">
        <v>2</v>
      </c>
      <c r="G365" s="30">
        <v>45585</v>
      </c>
      <c r="H365" s="30">
        <v>45586</v>
      </c>
      <c r="I365" s="29" t="s">
        <v>22</v>
      </c>
      <c r="J365" s="29" t="s">
        <v>29</v>
      </c>
      <c r="K365" s="29">
        <v>156.33000000000001</v>
      </c>
      <c r="L365" s="28" t="s">
        <v>24</v>
      </c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</row>
    <row r="366" spans="1:24" ht="14.25" customHeight="1">
      <c r="A366" s="28" t="s">
        <v>426</v>
      </c>
      <c r="B366" s="29" t="s">
        <v>14</v>
      </c>
      <c r="C366" s="29" t="s">
        <v>15</v>
      </c>
      <c r="D366" s="29">
        <v>1197.3499999999999</v>
      </c>
      <c r="E366" s="29">
        <v>0.12</v>
      </c>
      <c r="F366" s="29">
        <v>4</v>
      </c>
      <c r="G366" s="30">
        <v>44947</v>
      </c>
      <c r="H366" s="30">
        <v>44953</v>
      </c>
      <c r="I366" s="29" t="s">
        <v>22</v>
      </c>
      <c r="J366" s="29" t="s">
        <v>23</v>
      </c>
      <c r="K366" s="29">
        <v>298.56</v>
      </c>
      <c r="L366" s="28" t="s">
        <v>30</v>
      </c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</row>
    <row r="367" spans="1:24" ht="14.25" customHeight="1">
      <c r="A367" s="28" t="s">
        <v>427</v>
      </c>
      <c r="B367" s="29" t="s">
        <v>20</v>
      </c>
      <c r="C367" s="29" t="s">
        <v>21</v>
      </c>
      <c r="D367" s="29">
        <v>3868.91</v>
      </c>
      <c r="E367" s="29">
        <v>0.46</v>
      </c>
      <c r="F367" s="29">
        <v>3</v>
      </c>
      <c r="G367" s="30">
        <v>45202</v>
      </c>
      <c r="H367" s="30">
        <v>45206</v>
      </c>
      <c r="I367" s="29" t="s">
        <v>42</v>
      </c>
      <c r="J367" s="29" t="s">
        <v>17</v>
      </c>
      <c r="K367" s="29">
        <v>482.97</v>
      </c>
      <c r="L367" s="28" t="s">
        <v>113</v>
      </c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</row>
    <row r="368" spans="1:24" ht="14.25" customHeight="1">
      <c r="A368" s="28" t="s">
        <v>428</v>
      </c>
      <c r="B368" s="29" t="s">
        <v>27</v>
      </c>
      <c r="C368" s="29" t="s">
        <v>52</v>
      </c>
      <c r="D368" s="29">
        <v>2480.9</v>
      </c>
      <c r="E368" s="29">
        <v>0.4</v>
      </c>
      <c r="F368" s="29">
        <v>4</v>
      </c>
      <c r="G368" s="30">
        <v>45405</v>
      </c>
      <c r="H368" s="30">
        <v>45407</v>
      </c>
      <c r="I368" s="29" t="s">
        <v>16</v>
      </c>
      <c r="J368" s="29" t="s">
        <v>17</v>
      </c>
      <c r="K368" s="29">
        <v>610.64</v>
      </c>
      <c r="L368" s="28" t="s">
        <v>77</v>
      </c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</row>
    <row r="369" spans="1:24" ht="14.25" customHeight="1">
      <c r="A369" s="28" t="s">
        <v>429</v>
      </c>
      <c r="B369" s="29" t="s">
        <v>35</v>
      </c>
      <c r="C369" s="29" t="s">
        <v>15</v>
      </c>
      <c r="D369" s="29">
        <v>3823.84</v>
      </c>
      <c r="E369" s="29">
        <v>7.0000000000000007E-2</v>
      </c>
      <c r="F369" s="29">
        <v>4</v>
      </c>
      <c r="G369" s="30">
        <v>45273</v>
      </c>
      <c r="H369" s="30">
        <v>45276</v>
      </c>
      <c r="I369" s="29" t="s">
        <v>22</v>
      </c>
      <c r="J369" s="29" t="s">
        <v>17</v>
      </c>
      <c r="K369" s="29">
        <v>664.27</v>
      </c>
      <c r="L369" s="28" t="s">
        <v>82</v>
      </c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</row>
    <row r="370" spans="1:24" ht="14.25" customHeight="1">
      <c r="A370" s="28" t="s">
        <v>430</v>
      </c>
      <c r="B370" s="29" t="s">
        <v>14</v>
      </c>
      <c r="C370" s="29" t="s">
        <v>15</v>
      </c>
      <c r="D370" s="29">
        <v>1134.3499999999999</v>
      </c>
      <c r="E370" s="29">
        <v>0.02</v>
      </c>
      <c r="F370" s="29">
        <v>8</v>
      </c>
      <c r="G370" s="30">
        <v>45098</v>
      </c>
      <c r="H370" s="30">
        <v>45103</v>
      </c>
      <c r="I370" s="29" t="s">
        <v>22</v>
      </c>
      <c r="J370" s="29" t="s">
        <v>17</v>
      </c>
      <c r="K370" s="29">
        <v>278.14999999999998</v>
      </c>
      <c r="L370" s="28" t="s">
        <v>74</v>
      </c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</row>
    <row r="371" spans="1:24" ht="14.25" customHeight="1">
      <c r="A371" s="28" t="s">
        <v>431</v>
      </c>
      <c r="B371" s="29" t="s">
        <v>20</v>
      </c>
      <c r="C371" s="29" t="s">
        <v>52</v>
      </c>
      <c r="D371" s="29">
        <v>4768.22</v>
      </c>
      <c r="E371" s="29">
        <v>0.05</v>
      </c>
      <c r="F371" s="29">
        <v>3</v>
      </c>
      <c r="G371" s="30">
        <v>45469</v>
      </c>
      <c r="H371" s="30">
        <v>45475</v>
      </c>
      <c r="I371" s="29" t="s">
        <v>16</v>
      </c>
      <c r="J371" s="29" t="s">
        <v>29</v>
      </c>
      <c r="K371" s="29">
        <v>354.91</v>
      </c>
      <c r="L371" s="28" t="s">
        <v>84</v>
      </c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</row>
    <row r="372" spans="1:24" ht="14.25" customHeight="1">
      <c r="A372" s="28" t="s">
        <v>432</v>
      </c>
      <c r="B372" s="29" t="s">
        <v>27</v>
      </c>
      <c r="C372" s="29" t="s">
        <v>15</v>
      </c>
      <c r="D372" s="29">
        <v>3939.68</v>
      </c>
      <c r="E372" s="29">
        <v>0.15</v>
      </c>
      <c r="F372" s="29">
        <v>3</v>
      </c>
      <c r="G372" s="30">
        <v>44935</v>
      </c>
      <c r="H372" s="30">
        <v>44942</v>
      </c>
      <c r="I372" s="29" t="s">
        <v>16</v>
      </c>
      <c r="J372" s="29" t="s">
        <v>17</v>
      </c>
      <c r="K372" s="29">
        <v>1039.42</v>
      </c>
      <c r="L372" s="28" t="s">
        <v>87</v>
      </c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</row>
    <row r="373" spans="1:24" ht="14.25" customHeight="1">
      <c r="A373" s="28" t="s">
        <v>433</v>
      </c>
      <c r="B373" s="29" t="s">
        <v>35</v>
      </c>
      <c r="C373" s="29" t="s">
        <v>15</v>
      </c>
      <c r="D373" s="29">
        <v>1067.52</v>
      </c>
      <c r="E373" s="29">
        <v>0.41</v>
      </c>
      <c r="F373" s="29">
        <v>6</v>
      </c>
      <c r="G373" s="30">
        <v>45470</v>
      </c>
      <c r="H373" s="30">
        <v>45475</v>
      </c>
      <c r="I373" s="29" t="s">
        <v>42</v>
      </c>
      <c r="J373" s="29" t="s">
        <v>23</v>
      </c>
      <c r="K373" s="29">
        <v>318.77</v>
      </c>
      <c r="L373" s="28" t="s">
        <v>56</v>
      </c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</row>
    <row r="374" spans="1:24" ht="14.25" customHeight="1">
      <c r="A374" s="28" t="s">
        <v>434</v>
      </c>
      <c r="B374" s="29" t="s">
        <v>14</v>
      </c>
      <c r="C374" s="29" t="s">
        <v>21</v>
      </c>
      <c r="D374" s="29">
        <v>2836.4</v>
      </c>
      <c r="E374" s="29">
        <v>0.16</v>
      </c>
      <c r="F374" s="29">
        <v>3</v>
      </c>
      <c r="G374" s="30">
        <v>45128</v>
      </c>
      <c r="H374" s="30">
        <v>45132</v>
      </c>
      <c r="I374" s="29" t="s">
        <v>42</v>
      </c>
      <c r="J374" s="29" t="s">
        <v>29</v>
      </c>
      <c r="K374" s="29">
        <v>455.08</v>
      </c>
      <c r="L374" s="28" t="s">
        <v>18</v>
      </c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</row>
    <row r="375" spans="1:24" ht="14.25" customHeight="1">
      <c r="A375" s="28" t="s">
        <v>435</v>
      </c>
      <c r="B375" s="29" t="s">
        <v>20</v>
      </c>
      <c r="C375" s="29" t="s">
        <v>15</v>
      </c>
      <c r="D375" s="29">
        <v>654.17999999999995</v>
      </c>
      <c r="E375" s="29">
        <v>0.09</v>
      </c>
      <c r="F375" s="29">
        <v>5</v>
      </c>
      <c r="G375" s="30">
        <v>45106</v>
      </c>
      <c r="H375" s="30">
        <v>45109</v>
      </c>
      <c r="I375" s="29" t="s">
        <v>42</v>
      </c>
      <c r="J375" s="29" t="s">
        <v>17</v>
      </c>
      <c r="K375" s="29">
        <v>116.53</v>
      </c>
      <c r="L375" s="28" t="s">
        <v>37</v>
      </c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</row>
    <row r="376" spans="1:24" ht="14.25" customHeight="1">
      <c r="A376" s="28" t="s">
        <v>436</v>
      </c>
      <c r="B376" s="29" t="s">
        <v>27</v>
      </c>
      <c r="C376" s="29" t="s">
        <v>52</v>
      </c>
      <c r="D376" s="29">
        <v>1871.03</v>
      </c>
      <c r="E376" s="29">
        <v>0.2</v>
      </c>
      <c r="F376" s="29">
        <v>4</v>
      </c>
      <c r="G376" s="30">
        <v>45635</v>
      </c>
      <c r="H376" s="30">
        <v>45638</v>
      </c>
      <c r="I376" s="29" t="s">
        <v>16</v>
      </c>
      <c r="J376" s="29" t="s">
        <v>29</v>
      </c>
      <c r="K376" s="29">
        <v>181.06</v>
      </c>
      <c r="L376" s="28" t="s">
        <v>118</v>
      </c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</row>
    <row r="377" spans="1:24" ht="14.25" customHeight="1">
      <c r="A377" s="28" t="s">
        <v>437</v>
      </c>
      <c r="B377" s="29" t="s">
        <v>35</v>
      </c>
      <c r="C377" s="29" t="s">
        <v>47</v>
      </c>
      <c r="D377" s="29">
        <v>3332.14</v>
      </c>
      <c r="E377" s="29">
        <v>0.06</v>
      </c>
      <c r="F377" s="29">
        <v>4</v>
      </c>
      <c r="G377" s="30">
        <v>45643</v>
      </c>
      <c r="H377" s="30">
        <v>45644</v>
      </c>
      <c r="I377" s="29" t="s">
        <v>22</v>
      </c>
      <c r="J377" s="29" t="s">
        <v>29</v>
      </c>
      <c r="K377" s="29">
        <v>736.04</v>
      </c>
      <c r="L377" s="28" t="s">
        <v>84</v>
      </c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</row>
    <row r="378" spans="1:24" ht="14.25" customHeight="1">
      <c r="A378" s="28" t="s">
        <v>438</v>
      </c>
      <c r="B378" s="29" t="s">
        <v>14</v>
      </c>
      <c r="C378" s="29" t="s">
        <v>47</v>
      </c>
      <c r="D378" s="29">
        <v>1717.63</v>
      </c>
      <c r="E378" s="29">
        <v>0.24</v>
      </c>
      <c r="F378" s="29">
        <v>2</v>
      </c>
      <c r="G378" s="30">
        <v>45465</v>
      </c>
      <c r="H378" s="30">
        <v>45469</v>
      </c>
      <c r="I378" s="29" t="s">
        <v>16</v>
      </c>
      <c r="J378" s="29" t="s">
        <v>17</v>
      </c>
      <c r="K378" s="29">
        <v>119.18</v>
      </c>
      <c r="L378" s="28" t="s">
        <v>56</v>
      </c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</row>
    <row r="379" spans="1:24" ht="14.25" customHeight="1">
      <c r="A379" s="28" t="s">
        <v>439</v>
      </c>
      <c r="B379" s="29" t="s">
        <v>20</v>
      </c>
      <c r="C379" s="29" t="s">
        <v>47</v>
      </c>
      <c r="D379" s="29">
        <v>3318.12</v>
      </c>
      <c r="E379" s="29">
        <v>0.34</v>
      </c>
      <c r="F379" s="29">
        <v>9</v>
      </c>
      <c r="G379" s="30">
        <v>45440</v>
      </c>
      <c r="H379" s="30">
        <v>45446</v>
      </c>
      <c r="I379" s="29" t="s">
        <v>22</v>
      </c>
      <c r="J379" s="29" t="s">
        <v>23</v>
      </c>
      <c r="K379" s="29">
        <v>635.94000000000005</v>
      </c>
      <c r="L379" s="28" t="s">
        <v>63</v>
      </c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</row>
    <row r="380" spans="1:24" ht="14.25" customHeight="1">
      <c r="A380" s="28" t="s">
        <v>440</v>
      </c>
      <c r="B380" s="29" t="s">
        <v>27</v>
      </c>
      <c r="C380" s="29" t="s">
        <v>52</v>
      </c>
      <c r="D380" s="29">
        <v>1299.42</v>
      </c>
      <c r="E380" s="29">
        <v>0.18</v>
      </c>
      <c r="F380" s="29">
        <v>5</v>
      </c>
      <c r="G380" s="30">
        <v>45309</v>
      </c>
      <c r="H380" s="30">
        <v>45316</v>
      </c>
      <c r="I380" s="29" t="s">
        <v>16</v>
      </c>
      <c r="J380" s="29" t="s">
        <v>17</v>
      </c>
      <c r="K380" s="29">
        <v>200.91</v>
      </c>
      <c r="L380" s="28" t="s">
        <v>84</v>
      </c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</row>
    <row r="381" spans="1:24" ht="14.25" customHeight="1">
      <c r="A381" s="28" t="s">
        <v>441</v>
      </c>
      <c r="B381" s="29" t="s">
        <v>35</v>
      </c>
      <c r="C381" s="29" t="s">
        <v>47</v>
      </c>
      <c r="D381" s="29">
        <v>3633.91</v>
      </c>
      <c r="E381" s="29">
        <v>0.09</v>
      </c>
      <c r="F381" s="29">
        <v>5</v>
      </c>
      <c r="G381" s="30">
        <v>45320</v>
      </c>
      <c r="H381" s="30">
        <v>45325</v>
      </c>
      <c r="I381" s="29" t="s">
        <v>16</v>
      </c>
      <c r="J381" s="29" t="s">
        <v>17</v>
      </c>
      <c r="K381" s="29">
        <v>363.37</v>
      </c>
      <c r="L381" s="28" t="s">
        <v>84</v>
      </c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</row>
    <row r="382" spans="1:24" ht="14.25" customHeight="1">
      <c r="A382" s="28" t="s">
        <v>442</v>
      </c>
      <c r="B382" s="29" t="s">
        <v>14</v>
      </c>
      <c r="C382" s="29" t="s">
        <v>21</v>
      </c>
      <c r="D382" s="29">
        <v>1861.99</v>
      </c>
      <c r="E382" s="29">
        <v>0.23</v>
      </c>
      <c r="F382" s="29">
        <v>7</v>
      </c>
      <c r="G382" s="30">
        <v>45507</v>
      </c>
      <c r="H382" s="30">
        <v>45508</v>
      </c>
      <c r="I382" s="29" t="s">
        <v>16</v>
      </c>
      <c r="J382" s="29" t="s">
        <v>23</v>
      </c>
      <c r="K382" s="29">
        <v>477.12</v>
      </c>
      <c r="L382" s="28" t="s">
        <v>37</v>
      </c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</row>
    <row r="383" spans="1:24" ht="14.25" customHeight="1">
      <c r="A383" s="28" t="s">
        <v>443</v>
      </c>
      <c r="B383" s="29" t="s">
        <v>20</v>
      </c>
      <c r="C383" s="29" t="s">
        <v>52</v>
      </c>
      <c r="D383" s="29">
        <v>3973.36</v>
      </c>
      <c r="E383" s="29">
        <v>0.38</v>
      </c>
      <c r="F383" s="29">
        <v>3</v>
      </c>
      <c r="G383" s="30">
        <v>45632</v>
      </c>
      <c r="H383" s="30">
        <v>45637</v>
      </c>
      <c r="I383" s="29" t="s">
        <v>16</v>
      </c>
      <c r="J383" s="29" t="s">
        <v>17</v>
      </c>
      <c r="K383" s="29">
        <v>944.78</v>
      </c>
      <c r="L383" s="28" t="s">
        <v>25</v>
      </c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</row>
    <row r="384" spans="1:24" ht="14.25" customHeight="1">
      <c r="A384" s="28" t="s">
        <v>444</v>
      </c>
      <c r="B384" s="29" t="s">
        <v>27</v>
      </c>
      <c r="C384" s="29" t="s">
        <v>52</v>
      </c>
      <c r="D384" s="29">
        <v>769.78</v>
      </c>
      <c r="E384" s="29">
        <v>0.04</v>
      </c>
      <c r="F384" s="29">
        <v>6</v>
      </c>
      <c r="G384" s="30">
        <v>45172</v>
      </c>
      <c r="H384" s="30">
        <v>45178</v>
      </c>
      <c r="I384" s="29" t="s">
        <v>22</v>
      </c>
      <c r="J384" s="29" t="s">
        <v>23</v>
      </c>
      <c r="K384" s="29">
        <v>96.16</v>
      </c>
      <c r="L384" s="28" t="s">
        <v>54</v>
      </c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</row>
    <row r="385" spans="1:24" ht="14.25" customHeight="1">
      <c r="A385" s="28" t="s">
        <v>445</v>
      </c>
      <c r="B385" s="29" t="s">
        <v>35</v>
      </c>
      <c r="C385" s="29" t="s">
        <v>52</v>
      </c>
      <c r="D385" s="29">
        <v>1873.69</v>
      </c>
      <c r="E385" s="29">
        <v>0.04</v>
      </c>
      <c r="F385" s="29">
        <v>1</v>
      </c>
      <c r="G385" s="30">
        <v>45351</v>
      </c>
      <c r="H385" s="30">
        <v>45352</v>
      </c>
      <c r="I385" s="29" t="s">
        <v>22</v>
      </c>
      <c r="J385" s="29" t="s">
        <v>29</v>
      </c>
      <c r="K385" s="29">
        <v>274.62</v>
      </c>
      <c r="L385" s="28" t="s">
        <v>74</v>
      </c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</row>
    <row r="386" spans="1:24" ht="14.25" customHeight="1">
      <c r="A386" s="28" t="s">
        <v>446</v>
      </c>
      <c r="B386" s="29" t="s">
        <v>14</v>
      </c>
      <c r="C386" s="29" t="s">
        <v>15</v>
      </c>
      <c r="D386" s="29">
        <v>2373.27</v>
      </c>
      <c r="E386" s="29">
        <v>0.16</v>
      </c>
      <c r="F386" s="29">
        <v>5</v>
      </c>
      <c r="G386" s="30">
        <v>45230</v>
      </c>
      <c r="H386" s="30">
        <v>45236</v>
      </c>
      <c r="I386" s="29" t="s">
        <v>22</v>
      </c>
      <c r="J386" s="29" t="s">
        <v>23</v>
      </c>
      <c r="K386" s="29">
        <v>268.52999999999997</v>
      </c>
      <c r="L386" s="28" t="s">
        <v>18</v>
      </c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</row>
    <row r="387" spans="1:24" ht="14.25" customHeight="1">
      <c r="A387" s="28" t="s">
        <v>447</v>
      </c>
      <c r="B387" s="29" t="s">
        <v>20</v>
      </c>
      <c r="C387" s="29" t="s">
        <v>15</v>
      </c>
      <c r="D387" s="29">
        <v>2176.84</v>
      </c>
      <c r="E387" s="29">
        <v>0.21</v>
      </c>
      <c r="F387" s="29">
        <v>5</v>
      </c>
      <c r="G387" s="30">
        <v>45042</v>
      </c>
      <c r="H387" s="30">
        <v>45046</v>
      </c>
      <c r="I387" s="29" t="s">
        <v>22</v>
      </c>
      <c r="J387" s="29" t="s">
        <v>29</v>
      </c>
      <c r="K387" s="29">
        <v>223.02</v>
      </c>
      <c r="L387" s="28" t="s">
        <v>25</v>
      </c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</row>
    <row r="388" spans="1:24" ht="14.25" customHeight="1">
      <c r="A388" s="28" t="s">
        <v>448</v>
      </c>
      <c r="B388" s="29" t="s">
        <v>27</v>
      </c>
      <c r="C388" s="29" t="s">
        <v>15</v>
      </c>
      <c r="D388" s="29">
        <v>2222.16</v>
      </c>
      <c r="E388" s="29">
        <v>0.11</v>
      </c>
      <c r="F388" s="29">
        <v>9</v>
      </c>
      <c r="G388" s="30">
        <v>45043</v>
      </c>
      <c r="H388" s="30">
        <v>45049</v>
      </c>
      <c r="I388" s="29" t="s">
        <v>42</v>
      </c>
      <c r="J388" s="29" t="s">
        <v>23</v>
      </c>
      <c r="K388" s="29">
        <v>234.09</v>
      </c>
      <c r="L388" s="28" t="s">
        <v>18</v>
      </c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</row>
    <row r="389" spans="1:24" ht="14.25" customHeight="1">
      <c r="A389" s="28" t="s">
        <v>449</v>
      </c>
      <c r="B389" s="29" t="s">
        <v>35</v>
      </c>
      <c r="C389" s="29" t="s">
        <v>28</v>
      </c>
      <c r="D389" s="29">
        <v>2279.54</v>
      </c>
      <c r="E389" s="29">
        <v>0.01</v>
      </c>
      <c r="F389" s="29">
        <v>5</v>
      </c>
      <c r="G389" s="30">
        <v>45358</v>
      </c>
      <c r="H389" s="30">
        <v>45359</v>
      </c>
      <c r="I389" s="29" t="s">
        <v>42</v>
      </c>
      <c r="J389" s="29" t="s">
        <v>29</v>
      </c>
      <c r="K389" s="29">
        <v>190.23</v>
      </c>
      <c r="L389" s="28" t="s">
        <v>36</v>
      </c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</row>
    <row r="390" spans="1:24" ht="14.25" customHeight="1">
      <c r="A390" s="28" t="s">
        <v>450</v>
      </c>
      <c r="B390" s="29" t="s">
        <v>14</v>
      </c>
      <c r="C390" s="29" t="s">
        <v>21</v>
      </c>
      <c r="D390" s="29">
        <v>4945.1400000000003</v>
      </c>
      <c r="E390" s="29">
        <v>0.11</v>
      </c>
      <c r="F390" s="29">
        <v>8</v>
      </c>
      <c r="G390" s="30">
        <v>45051</v>
      </c>
      <c r="H390" s="30">
        <v>45052</v>
      </c>
      <c r="I390" s="29" t="s">
        <v>16</v>
      </c>
      <c r="J390" s="29" t="s">
        <v>23</v>
      </c>
      <c r="K390" s="29">
        <v>666.29</v>
      </c>
      <c r="L390" s="28" t="s">
        <v>113</v>
      </c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</row>
    <row r="391" spans="1:24" ht="14.25" customHeight="1">
      <c r="A391" s="28" t="s">
        <v>451</v>
      </c>
      <c r="B391" s="29" t="s">
        <v>20</v>
      </c>
      <c r="C391" s="29" t="s">
        <v>52</v>
      </c>
      <c r="D391" s="29">
        <v>1046.47</v>
      </c>
      <c r="E391" s="29">
        <v>0.22</v>
      </c>
      <c r="F391" s="29">
        <v>3</v>
      </c>
      <c r="G391" s="30">
        <v>44959</v>
      </c>
      <c r="H391" s="30">
        <v>44962</v>
      </c>
      <c r="I391" s="29" t="s">
        <v>22</v>
      </c>
      <c r="J391" s="29" t="s">
        <v>29</v>
      </c>
      <c r="K391" s="29">
        <v>233.82</v>
      </c>
      <c r="L391" s="28" t="s">
        <v>30</v>
      </c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</row>
    <row r="392" spans="1:24" ht="14.25" customHeight="1">
      <c r="A392" s="28" t="s">
        <v>452</v>
      </c>
      <c r="B392" s="29" t="s">
        <v>27</v>
      </c>
      <c r="C392" s="29" t="s">
        <v>52</v>
      </c>
      <c r="D392" s="29">
        <v>3866.45</v>
      </c>
      <c r="E392" s="29">
        <v>0.04</v>
      </c>
      <c r="F392" s="29">
        <v>6</v>
      </c>
      <c r="G392" s="30">
        <v>45399</v>
      </c>
      <c r="H392" s="30">
        <v>45405</v>
      </c>
      <c r="I392" s="29" t="s">
        <v>22</v>
      </c>
      <c r="J392" s="29" t="s">
        <v>17</v>
      </c>
      <c r="K392" s="29">
        <v>447.64</v>
      </c>
      <c r="L392" s="28" t="s">
        <v>77</v>
      </c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</row>
    <row r="393" spans="1:24" ht="14.25" customHeight="1">
      <c r="A393" s="28" t="s">
        <v>453</v>
      </c>
      <c r="B393" s="29" t="s">
        <v>35</v>
      </c>
      <c r="C393" s="29" t="s">
        <v>15</v>
      </c>
      <c r="D393" s="29">
        <v>2803.77</v>
      </c>
      <c r="E393" s="29">
        <v>0.36</v>
      </c>
      <c r="F393" s="29">
        <v>2</v>
      </c>
      <c r="G393" s="30">
        <v>45530</v>
      </c>
      <c r="H393" s="30">
        <v>45533</v>
      </c>
      <c r="I393" s="29" t="s">
        <v>16</v>
      </c>
      <c r="J393" s="29" t="s">
        <v>23</v>
      </c>
      <c r="K393" s="29">
        <v>632.89</v>
      </c>
      <c r="L393" s="28" t="s">
        <v>82</v>
      </c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</row>
    <row r="394" spans="1:24" ht="14.25" customHeight="1">
      <c r="A394" s="28" t="s">
        <v>454</v>
      </c>
      <c r="B394" s="29" t="s">
        <v>14</v>
      </c>
      <c r="C394" s="29" t="s">
        <v>52</v>
      </c>
      <c r="D394" s="29">
        <v>2126.7800000000002</v>
      </c>
      <c r="E394" s="29">
        <v>0.28000000000000003</v>
      </c>
      <c r="F394" s="29">
        <v>9</v>
      </c>
      <c r="G394" s="30">
        <v>45361</v>
      </c>
      <c r="H394" s="30">
        <v>45367</v>
      </c>
      <c r="I394" s="29" t="s">
        <v>16</v>
      </c>
      <c r="J394" s="29" t="s">
        <v>23</v>
      </c>
      <c r="K394" s="29">
        <v>513.26</v>
      </c>
      <c r="L394" s="28" t="s">
        <v>87</v>
      </c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</row>
    <row r="395" spans="1:24" ht="14.25" customHeight="1">
      <c r="A395" s="28" t="s">
        <v>455</v>
      </c>
      <c r="B395" s="29" t="s">
        <v>20</v>
      </c>
      <c r="C395" s="29" t="s">
        <v>52</v>
      </c>
      <c r="D395" s="29">
        <v>3204.29</v>
      </c>
      <c r="E395" s="29">
        <v>0.22</v>
      </c>
      <c r="F395" s="29">
        <v>6</v>
      </c>
      <c r="G395" s="30">
        <v>45630</v>
      </c>
      <c r="H395" s="30">
        <v>45635</v>
      </c>
      <c r="I395" s="29" t="s">
        <v>16</v>
      </c>
      <c r="J395" s="29" t="s">
        <v>29</v>
      </c>
      <c r="K395" s="29">
        <v>431.14</v>
      </c>
      <c r="L395" s="28" t="s">
        <v>82</v>
      </c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</row>
    <row r="396" spans="1:24" ht="14.25" customHeight="1">
      <c r="A396" s="28" t="s">
        <v>456</v>
      </c>
      <c r="B396" s="29" t="s">
        <v>27</v>
      </c>
      <c r="C396" s="29" t="s">
        <v>47</v>
      </c>
      <c r="D396" s="29">
        <v>4282.3</v>
      </c>
      <c r="E396" s="29">
        <v>0.26</v>
      </c>
      <c r="F396" s="29">
        <v>5</v>
      </c>
      <c r="G396" s="30">
        <v>44949</v>
      </c>
      <c r="H396" s="30">
        <v>44956</v>
      </c>
      <c r="I396" s="29" t="s">
        <v>22</v>
      </c>
      <c r="J396" s="29" t="s">
        <v>23</v>
      </c>
      <c r="K396" s="29">
        <v>275.87</v>
      </c>
      <c r="L396" s="28" t="s">
        <v>36</v>
      </c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</row>
    <row r="397" spans="1:24" ht="14.25" customHeight="1">
      <c r="A397" s="28" t="s">
        <v>457</v>
      </c>
      <c r="B397" s="29" t="s">
        <v>35</v>
      </c>
      <c r="C397" s="29" t="s">
        <v>52</v>
      </c>
      <c r="D397" s="29">
        <v>2386.5300000000002</v>
      </c>
      <c r="E397" s="29">
        <v>0.33</v>
      </c>
      <c r="F397" s="29">
        <v>9</v>
      </c>
      <c r="G397" s="30">
        <v>45008</v>
      </c>
      <c r="H397" s="30">
        <v>45011</v>
      </c>
      <c r="I397" s="29" t="s">
        <v>22</v>
      </c>
      <c r="J397" s="29" t="s">
        <v>23</v>
      </c>
      <c r="K397" s="29">
        <v>547.59</v>
      </c>
      <c r="L397" s="28" t="s">
        <v>63</v>
      </c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</row>
    <row r="398" spans="1:24" ht="14.25" customHeight="1">
      <c r="A398" s="28" t="s">
        <v>458</v>
      </c>
      <c r="B398" s="29" t="s">
        <v>14</v>
      </c>
      <c r="C398" s="29" t="s">
        <v>28</v>
      </c>
      <c r="D398" s="29">
        <v>4337.53</v>
      </c>
      <c r="E398" s="29">
        <v>0.5</v>
      </c>
      <c r="F398" s="29">
        <v>1</v>
      </c>
      <c r="G398" s="30">
        <v>45129</v>
      </c>
      <c r="H398" s="30">
        <v>45133</v>
      </c>
      <c r="I398" s="29" t="s">
        <v>22</v>
      </c>
      <c r="J398" s="29" t="s">
        <v>23</v>
      </c>
      <c r="K398" s="29">
        <v>367.48</v>
      </c>
      <c r="L398" s="28" t="s">
        <v>24</v>
      </c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</row>
    <row r="399" spans="1:24" ht="14.25" customHeight="1">
      <c r="A399" s="28" t="s">
        <v>459</v>
      </c>
      <c r="B399" s="29" t="s">
        <v>20</v>
      </c>
      <c r="C399" s="29" t="s">
        <v>15</v>
      </c>
      <c r="D399" s="29">
        <v>559.61</v>
      </c>
      <c r="E399" s="29">
        <v>0.39</v>
      </c>
      <c r="F399" s="29">
        <v>3</v>
      </c>
      <c r="G399" s="30">
        <v>45481</v>
      </c>
      <c r="H399" s="30">
        <v>45485</v>
      </c>
      <c r="I399" s="29" t="s">
        <v>42</v>
      </c>
      <c r="J399" s="29" t="s">
        <v>23</v>
      </c>
      <c r="K399" s="29">
        <v>66.31</v>
      </c>
      <c r="L399" s="28" t="s">
        <v>54</v>
      </c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</row>
    <row r="400" spans="1:24" ht="14.25" customHeight="1">
      <c r="A400" s="28" t="s">
        <v>460</v>
      </c>
      <c r="B400" s="29" t="s">
        <v>27</v>
      </c>
      <c r="C400" s="29" t="s">
        <v>21</v>
      </c>
      <c r="D400" s="29">
        <v>3300.11</v>
      </c>
      <c r="E400" s="29">
        <v>0.27</v>
      </c>
      <c r="F400" s="29">
        <v>2</v>
      </c>
      <c r="G400" s="30">
        <v>45033</v>
      </c>
      <c r="H400" s="30">
        <v>45034</v>
      </c>
      <c r="I400" s="29" t="s">
        <v>16</v>
      </c>
      <c r="J400" s="29" t="s">
        <v>23</v>
      </c>
      <c r="K400" s="29">
        <v>653.08000000000004</v>
      </c>
      <c r="L400" s="28" t="s">
        <v>36</v>
      </c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</row>
    <row r="401" spans="1:24" ht="14.25" customHeight="1">
      <c r="A401" s="28" t="s">
        <v>461</v>
      </c>
      <c r="B401" s="29" t="s">
        <v>35</v>
      </c>
      <c r="C401" s="29" t="s">
        <v>21</v>
      </c>
      <c r="D401" s="29">
        <v>1732.58</v>
      </c>
      <c r="E401" s="29">
        <v>0.39</v>
      </c>
      <c r="F401" s="29">
        <v>9</v>
      </c>
      <c r="G401" s="30">
        <v>45000</v>
      </c>
      <c r="H401" s="30">
        <v>45005</v>
      </c>
      <c r="I401" s="29" t="s">
        <v>22</v>
      </c>
      <c r="J401" s="29" t="s">
        <v>29</v>
      </c>
      <c r="K401" s="29">
        <v>484.92</v>
      </c>
      <c r="L401" s="28" t="s">
        <v>70</v>
      </c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</row>
    <row r="402" spans="1:24" ht="14.25" customHeight="1">
      <c r="A402" s="28" t="s">
        <v>462</v>
      </c>
      <c r="B402" s="29" t="s">
        <v>14</v>
      </c>
      <c r="C402" s="29" t="s">
        <v>47</v>
      </c>
      <c r="D402" s="29">
        <v>1994.91</v>
      </c>
      <c r="E402" s="29">
        <v>0.24</v>
      </c>
      <c r="F402" s="29">
        <v>6</v>
      </c>
      <c r="G402" s="30">
        <v>45282</v>
      </c>
      <c r="H402" s="30">
        <v>45289</v>
      </c>
      <c r="I402" s="29" t="s">
        <v>16</v>
      </c>
      <c r="J402" s="29" t="s">
        <v>23</v>
      </c>
      <c r="K402" s="29">
        <v>476.38</v>
      </c>
      <c r="L402" s="28" t="s">
        <v>74</v>
      </c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</row>
    <row r="403" spans="1:24" ht="14.25" customHeight="1">
      <c r="A403" s="28" t="s">
        <v>463</v>
      </c>
      <c r="B403" s="29" t="s">
        <v>20</v>
      </c>
      <c r="C403" s="29" t="s">
        <v>21</v>
      </c>
      <c r="D403" s="29">
        <v>2898</v>
      </c>
      <c r="E403" s="29">
        <v>0.16</v>
      </c>
      <c r="F403" s="29">
        <v>6</v>
      </c>
      <c r="G403" s="30">
        <v>45127</v>
      </c>
      <c r="H403" s="30">
        <v>45131</v>
      </c>
      <c r="I403" s="29" t="s">
        <v>42</v>
      </c>
      <c r="J403" s="29" t="s">
        <v>17</v>
      </c>
      <c r="K403" s="29">
        <v>339.95</v>
      </c>
      <c r="L403" s="28" t="s">
        <v>87</v>
      </c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</row>
    <row r="404" spans="1:24" ht="14.25" customHeight="1">
      <c r="A404" s="28" t="s">
        <v>464</v>
      </c>
      <c r="B404" s="29" t="s">
        <v>27</v>
      </c>
      <c r="C404" s="29" t="s">
        <v>21</v>
      </c>
      <c r="D404" s="29">
        <v>2451.59</v>
      </c>
      <c r="E404" s="29">
        <v>0.13</v>
      </c>
      <c r="F404" s="29">
        <v>5</v>
      </c>
      <c r="G404" s="30">
        <v>45288</v>
      </c>
      <c r="H404" s="30">
        <v>45289</v>
      </c>
      <c r="I404" s="29" t="s">
        <v>16</v>
      </c>
      <c r="J404" s="29" t="s">
        <v>17</v>
      </c>
      <c r="K404" s="29">
        <v>620.73</v>
      </c>
      <c r="L404" s="28" t="s">
        <v>25</v>
      </c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</row>
    <row r="405" spans="1:24" ht="14.25" customHeight="1">
      <c r="A405" s="28" t="s">
        <v>465</v>
      </c>
      <c r="B405" s="29" t="s">
        <v>35</v>
      </c>
      <c r="C405" s="29" t="s">
        <v>15</v>
      </c>
      <c r="D405" s="29">
        <v>1970.72</v>
      </c>
      <c r="E405" s="29">
        <v>0.2</v>
      </c>
      <c r="F405" s="29">
        <v>4</v>
      </c>
      <c r="G405" s="30">
        <v>45515</v>
      </c>
      <c r="H405" s="30">
        <v>45520</v>
      </c>
      <c r="I405" s="29" t="s">
        <v>22</v>
      </c>
      <c r="J405" s="29" t="s">
        <v>17</v>
      </c>
      <c r="K405" s="29">
        <v>300.44</v>
      </c>
      <c r="L405" s="28" t="s">
        <v>113</v>
      </c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</row>
    <row r="406" spans="1:24" ht="14.25" customHeight="1">
      <c r="A406" s="28" t="s">
        <v>466</v>
      </c>
      <c r="B406" s="29" t="s">
        <v>14</v>
      </c>
      <c r="C406" s="29" t="s">
        <v>15</v>
      </c>
      <c r="D406" s="29">
        <v>1610.78</v>
      </c>
      <c r="E406" s="29">
        <v>0</v>
      </c>
      <c r="F406" s="29">
        <v>4</v>
      </c>
      <c r="G406" s="30">
        <v>45397</v>
      </c>
      <c r="H406" s="30">
        <v>45401</v>
      </c>
      <c r="I406" s="29" t="s">
        <v>16</v>
      </c>
      <c r="J406" s="29" t="s">
        <v>29</v>
      </c>
      <c r="K406" s="29">
        <v>138.59</v>
      </c>
      <c r="L406" s="28" t="s">
        <v>25</v>
      </c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</row>
    <row r="407" spans="1:24" ht="14.25" customHeight="1">
      <c r="A407" s="28" t="s">
        <v>467</v>
      </c>
      <c r="B407" s="29" t="s">
        <v>20</v>
      </c>
      <c r="C407" s="29" t="s">
        <v>28</v>
      </c>
      <c r="D407" s="29">
        <v>3129.74</v>
      </c>
      <c r="E407" s="29">
        <v>0.09</v>
      </c>
      <c r="F407" s="29">
        <v>2</v>
      </c>
      <c r="G407" s="30">
        <v>45311</v>
      </c>
      <c r="H407" s="30">
        <v>45313</v>
      </c>
      <c r="I407" s="29" t="s">
        <v>22</v>
      </c>
      <c r="J407" s="29" t="s">
        <v>23</v>
      </c>
      <c r="K407" s="29">
        <v>398.59</v>
      </c>
      <c r="L407" s="28" t="s">
        <v>70</v>
      </c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</row>
    <row r="408" spans="1:24" ht="14.25" customHeight="1">
      <c r="A408" s="28" t="s">
        <v>468</v>
      </c>
      <c r="B408" s="29" t="s">
        <v>27</v>
      </c>
      <c r="C408" s="29" t="s">
        <v>47</v>
      </c>
      <c r="D408" s="29">
        <v>2577.34</v>
      </c>
      <c r="E408" s="29">
        <v>0.06</v>
      </c>
      <c r="F408" s="29">
        <v>7</v>
      </c>
      <c r="G408" s="30">
        <v>44945</v>
      </c>
      <c r="H408" s="30">
        <v>44946</v>
      </c>
      <c r="I408" s="29" t="s">
        <v>42</v>
      </c>
      <c r="J408" s="29" t="s">
        <v>23</v>
      </c>
      <c r="K408" s="29">
        <v>658.39</v>
      </c>
      <c r="L408" s="28" t="s">
        <v>118</v>
      </c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</row>
    <row r="409" spans="1:24" ht="14.25" customHeight="1">
      <c r="A409" s="28" t="s">
        <v>469</v>
      </c>
      <c r="B409" s="29" t="s">
        <v>35</v>
      </c>
      <c r="C409" s="29" t="s">
        <v>21</v>
      </c>
      <c r="D409" s="29">
        <v>1684.21</v>
      </c>
      <c r="E409" s="29">
        <v>0.48</v>
      </c>
      <c r="F409" s="29">
        <v>6</v>
      </c>
      <c r="G409" s="30">
        <v>45571</v>
      </c>
      <c r="H409" s="30">
        <v>45575</v>
      </c>
      <c r="I409" s="29" t="s">
        <v>42</v>
      </c>
      <c r="J409" s="29" t="s">
        <v>23</v>
      </c>
      <c r="K409" s="29">
        <v>240.4</v>
      </c>
      <c r="L409" s="28" t="s">
        <v>30</v>
      </c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</row>
    <row r="410" spans="1:24" ht="14.25" customHeight="1">
      <c r="A410" s="28" t="s">
        <v>470</v>
      </c>
      <c r="B410" s="29" t="s">
        <v>14</v>
      </c>
      <c r="C410" s="29" t="s">
        <v>28</v>
      </c>
      <c r="D410" s="29">
        <v>1104.31</v>
      </c>
      <c r="E410" s="29">
        <v>0.03</v>
      </c>
      <c r="F410" s="29">
        <v>3</v>
      </c>
      <c r="G410" s="30">
        <v>45621</v>
      </c>
      <c r="H410" s="30">
        <v>45623</v>
      </c>
      <c r="I410" s="29" t="s">
        <v>22</v>
      </c>
      <c r="J410" s="29" t="s">
        <v>23</v>
      </c>
      <c r="K410" s="29">
        <v>160.11000000000001</v>
      </c>
      <c r="L410" s="28" t="s">
        <v>30</v>
      </c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</row>
    <row r="411" spans="1:24" ht="14.25" customHeight="1">
      <c r="A411" s="28" t="s">
        <v>471</v>
      </c>
      <c r="B411" s="29" t="s">
        <v>20</v>
      </c>
      <c r="C411" s="29" t="s">
        <v>47</v>
      </c>
      <c r="D411" s="29">
        <v>3894.89</v>
      </c>
      <c r="E411" s="29">
        <v>0.25</v>
      </c>
      <c r="F411" s="29">
        <v>7</v>
      </c>
      <c r="G411" s="30">
        <v>45500</v>
      </c>
      <c r="H411" s="30">
        <v>45506</v>
      </c>
      <c r="I411" s="29" t="s">
        <v>42</v>
      </c>
      <c r="J411" s="29" t="s">
        <v>29</v>
      </c>
      <c r="K411" s="29">
        <v>1145.5</v>
      </c>
      <c r="L411" s="28" t="s">
        <v>70</v>
      </c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</row>
    <row r="412" spans="1:24" ht="14.25" customHeight="1">
      <c r="A412" s="28" t="s">
        <v>472</v>
      </c>
      <c r="B412" s="29" t="s">
        <v>27</v>
      </c>
      <c r="C412" s="29" t="s">
        <v>21</v>
      </c>
      <c r="D412" s="29">
        <v>4018.6</v>
      </c>
      <c r="E412" s="29">
        <v>0.46</v>
      </c>
      <c r="F412" s="29">
        <v>9</v>
      </c>
      <c r="G412" s="30">
        <v>45571</v>
      </c>
      <c r="H412" s="30">
        <v>45572</v>
      </c>
      <c r="I412" s="29" t="s">
        <v>16</v>
      </c>
      <c r="J412" s="29" t="s">
        <v>17</v>
      </c>
      <c r="K412" s="29">
        <v>719.59</v>
      </c>
      <c r="L412" s="28" t="s">
        <v>84</v>
      </c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</row>
    <row r="413" spans="1:24" ht="14.25" customHeight="1">
      <c r="A413" s="28" t="s">
        <v>473</v>
      </c>
      <c r="B413" s="29" t="s">
        <v>35</v>
      </c>
      <c r="C413" s="29" t="s">
        <v>21</v>
      </c>
      <c r="D413" s="29">
        <v>1147.56</v>
      </c>
      <c r="E413" s="29">
        <v>0.3</v>
      </c>
      <c r="F413" s="29">
        <v>1</v>
      </c>
      <c r="G413" s="30">
        <v>45047</v>
      </c>
      <c r="H413" s="30">
        <v>45051</v>
      </c>
      <c r="I413" s="29" t="s">
        <v>42</v>
      </c>
      <c r="J413" s="29" t="s">
        <v>29</v>
      </c>
      <c r="K413" s="29">
        <v>199.91</v>
      </c>
      <c r="L413" s="28" t="s">
        <v>70</v>
      </c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</row>
    <row r="414" spans="1:24" ht="14.25" customHeight="1">
      <c r="A414" s="28" t="s">
        <v>474</v>
      </c>
      <c r="B414" s="29" t="s">
        <v>14</v>
      </c>
      <c r="C414" s="29" t="s">
        <v>15</v>
      </c>
      <c r="D414" s="29">
        <v>1382.08</v>
      </c>
      <c r="E414" s="29">
        <v>0.25</v>
      </c>
      <c r="F414" s="29">
        <v>8</v>
      </c>
      <c r="G414" s="30">
        <v>45061</v>
      </c>
      <c r="H414" s="30">
        <v>45062</v>
      </c>
      <c r="I414" s="29" t="s">
        <v>42</v>
      </c>
      <c r="J414" s="29" t="s">
        <v>23</v>
      </c>
      <c r="K414" s="29">
        <v>321.3</v>
      </c>
      <c r="L414" s="28" t="s">
        <v>74</v>
      </c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</row>
    <row r="415" spans="1:24" ht="14.25" customHeight="1">
      <c r="A415" s="28" t="s">
        <v>475</v>
      </c>
      <c r="B415" s="29" t="s">
        <v>20</v>
      </c>
      <c r="C415" s="29" t="s">
        <v>52</v>
      </c>
      <c r="D415" s="29">
        <v>1271.8</v>
      </c>
      <c r="E415" s="29">
        <v>0.37</v>
      </c>
      <c r="F415" s="29">
        <v>2</v>
      </c>
      <c r="G415" s="30">
        <v>45181</v>
      </c>
      <c r="H415" s="30">
        <v>45184</v>
      </c>
      <c r="I415" s="29" t="s">
        <v>42</v>
      </c>
      <c r="J415" s="29" t="s">
        <v>23</v>
      </c>
      <c r="K415" s="29">
        <v>369.36</v>
      </c>
      <c r="L415" s="28" t="s">
        <v>54</v>
      </c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</row>
    <row r="416" spans="1:24" ht="14.25" customHeight="1">
      <c r="A416" s="28" t="s">
        <v>476</v>
      </c>
      <c r="B416" s="29" t="s">
        <v>27</v>
      </c>
      <c r="C416" s="29" t="s">
        <v>47</v>
      </c>
      <c r="D416" s="29">
        <v>4434.3900000000003</v>
      </c>
      <c r="E416" s="29">
        <v>0.18</v>
      </c>
      <c r="F416" s="29">
        <v>1</v>
      </c>
      <c r="G416" s="30">
        <v>45290</v>
      </c>
      <c r="H416" s="30">
        <v>45296</v>
      </c>
      <c r="I416" s="29" t="s">
        <v>42</v>
      </c>
      <c r="J416" s="29" t="s">
        <v>23</v>
      </c>
      <c r="K416" s="29">
        <v>1318.47</v>
      </c>
      <c r="L416" s="28" t="s">
        <v>63</v>
      </c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</row>
    <row r="417" spans="1:24" ht="14.25" customHeight="1">
      <c r="A417" s="28" t="s">
        <v>477</v>
      </c>
      <c r="B417" s="29" t="s">
        <v>35</v>
      </c>
      <c r="C417" s="29" t="s">
        <v>21</v>
      </c>
      <c r="D417" s="29">
        <v>3893.24</v>
      </c>
      <c r="E417" s="29">
        <v>0.1</v>
      </c>
      <c r="F417" s="29">
        <v>9</v>
      </c>
      <c r="G417" s="30">
        <v>45260</v>
      </c>
      <c r="H417" s="30">
        <v>45262</v>
      </c>
      <c r="I417" s="29" t="s">
        <v>22</v>
      </c>
      <c r="J417" s="29" t="s">
        <v>17</v>
      </c>
      <c r="K417" s="29">
        <v>954.08</v>
      </c>
      <c r="L417" s="28" t="s">
        <v>87</v>
      </c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</row>
    <row r="418" spans="1:24" ht="14.25" customHeight="1">
      <c r="A418" s="28" t="s">
        <v>478</v>
      </c>
      <c r="B418" s="29" t="s">
        <v>14</v>
      </c>
      <c r="C418" s="29" t="s">
        <v>47</v>
      </c>
      <c r="D418" s="29">
        <v>465.41</v>
      </c>
      <c r="E418" s="29">
        <v>0.42</v>
      </c>
      <c r="F418" s="29">
        <v>2</v>
      </c>
      <c r="G418" s="30">
        <v>45471</v>
      </c>
      <c r="H418" s="30">
        <v>45476</v>
      </c>
      <c r="I418" s="29" t="s">
        <v>42</v>
      </c>
      <c r="J418" s="29" t="s">
        <v>23</v>
      </c>
      <c r="K418" s="29">
        <v>124.67</v>
      </c>
      <c r="L418" s="28" t="s">
        <v>70</v>
      </c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</row>
    <row r="419" spans="1:24" ht="14.25" customHeight="1">
      <c r="A419" s="28" t="s">
        <v>479</v>
      </c>
      <c r="B419" s="29" t="s">
        <v>20</v>
      </c>
      <c r="C419" s="29" t="s">
        <v>28</v>
      </c>
      <c r="D419" s="29">
        <v>4180.0600000000004</v>
      </c>
      <c r="E419" s="29">
        <v>0.03</v>
      </c>
      <c r="F419" s="29">
        <v>7</v>
      </c>
      <c r="G419" s="30">
        <v>44932</v>
      </c>
      <c r="H419" s="30">
        <v>44937</v>
      </c>
      <c r="I419" s="29" t="s">
        <v>22</v>
      </c>
      <c r="J419" s="29" t="s">
        <v>23</v>
      </c>
      <c r="K419" s="29">
        <v>1157.1600000000001</v>
      </c>
      <c r="L419" s="28" t="s">
        <v>37</v>
      </c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</row>
    <row r="420" spans="1:24" ht="14.25" customHeight="1">
      <c r="A420" s="28" t="s">
        <v>480</v>
      </c>
      <c r="B420" s="29" t="s">
        <v>27</v>
      </c>
      <c r="C420" s="29" t="s">
        <v>28</v>
      </c>
      <c r="D420" s="29">
        <v>280.57</v>
      </c>
      <c r="E420" s="29">
        <v>0.4</v>
      </c>
      <c r="F420" s="29">
        <v>7</v>
      </c>
      <c r="G420" s="30">
        <v>45520</v>
      </c>
      <c r="H420" s="30">
        <v>45527</v>
      </c>
      <c r="I420" s="29" t="s">
        <v>22</v>
      </c>
      <c r="J420" s="29" t="s">
        <v>29</v>
      </c>
      <c r="K420" s="29">
        <v>66.28</v>
      </c>
      <c r="L420" s="28" t="s">
        <v>82</v>
      </c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</row>
    <row r="421" spans="1:24" ht="14.25" customHeight="1">
      <c r="A421" s="28" t="s">
        <v>481</v>
      </c>
      <c r="B421" s="29" t="s">
        <v>35</v>
      </c>
      <c r="C421" s="29" t="s">
        <v>52</v>
      </c>
      <c r="D421" s="29">
        <v>1340.68</v>
      </c>
      <c r="E421" s="29">
        <v>0.05</v>
      </c>
      <c r="F421" s="29">
        <v>1</v>
      </c>
      <c r="G421" s="30">
        <v>45060</v>
      </c>
      <c r="H421" s="30">
        <v>45061</v>
      </c>
      <c r="I421" s="29" t="s">
        <v>22</v>
      </c>
      <c r="J421" s="29" t="s">
        <v>23</v>
      </c>
      <c r="K421" s="29">
        <v>256.22000000000003</v>
      </c>
      <c r="L421" s="28" t="s">
        <v>70</v>
      </c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</row>
    <row r="422" spans="1:24" ht="14.25" customHeight="1">
      <c r="A422" s="28" t="s">
        <v>482</v>
      </c>
      <c r="B422" s="29" t="s">
        <v>14</v>
      </c>
      <c r="C422" s="29" t="s">
        <v>21</v>
      </c>
      <c r="D422" s="29">
        <v>4603.0600000000004</v>
      </c>
      <c r="E422" s="29">
        <v>0.31</v>
      </c>
      <c r="F422" s="29">
        <v>1</v>
      </c>
      <c r="G422" s="30">
        <v>45489</v>
      </c>
      <c r="H422" s="30">
        <v>45490</v>
      </c>
      <c r="I422" s="29" t="s">
        <v>16</v>
      </c>
      <c r="J422" s="29" t="s">
        <v>17</v>
      </c>
      <c r="K422" s="29">
        <v>517.95000000000005</v>
      </c>
      <c r="L422" s="28" t="s">
        <v>82</v>
      </c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</row>
    <row r="423" spans="1:24" ht="14.25" customHeight="1">
      <c r="A423" s="28" t="s">
        <v>483</v>
      </c>
      <c r="B423" s="29" t="s">
        <v>20</v>
      </c>
      <c r="C423" s="29" t="s">
        <v>15</v>
      </c>
      <c r="D423" s="29">
        <v>4335.22</v>
      </c>
      <c r="E423" s="29">
        <v>0.24</v>
      </c>
      <c r="F423" s="29">
        <v>7</v>
      </c>
      <c r="G423" s="30">
        <v>45148</v>
      </c>
      <c r="H423" s="30">
        <v>45151</v>
      </c>
      <c r="I423" s="29" t="s">
        <v>16</v>
      </c>
      <c r="J423" s="29" t="s">
        <v>29</v>
      </c>
      <c r="K423" s="29">
        <v>1006.56</v>
      </c>
      <c r="L423" s="28" t="s">
        <v>25</v>
      </c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</row>
    <row r="424" spans="1:24" ht="14.25" customHeight="1">
      <c r="A424" s="28" t="s">
        <v>484</v>
      </c>
      <c r="B424" s="29" t="s">
        <v>27</v>
      </c>
      <c r="C424" s="29" t="s">
        <v>21</v>
      </c>
      <c r="D424" s="29">
        <v>3929.03</v>
      </c>
      <c r="E424" s="29">
        <v>0.5</v>
      </c>
      <c r="F424" s="29">
        <v>6</v>
      </c>
      <c r="G424" s="30">
        <v>45194</v>
      </c>
      <c r="H424" s="30">
        <v>45196</v>
      </c>
      <c r="I424" s="29" t="s">
        <v>22</v>
      </c>
      <c r="J424" s="29" t="s">
        <v>23</v>
      </c>
      <c r="K424" s="29">
        <v>689.37</v>
      </c>
      <c r="L424" s="28" t="s">
        <v>82</v>
      </c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</row>
    <row r="425" spans="1:24" ht="14.25" customHeight="1">
      <c r="A425" s="28" t="s">
        <v>485</v>
      </c>
      <c r="B425" s="29" t="s">
        <v>35</v>
      </c>
      <c r="C425" s="29" t="s">
        <v>47</v>
      </c>
      <c r="D425" s="29">
        <v>2341.98</v>
      </c>
      <c r="E425" s="29">
        <v>0.19</v>
      </c>
      <c r="F425" s="29">
        <v>4</v>
      </c>
      <c r="G425" s="30">
        <v>45641</v>
      </c>
      <c r="H425" s="30">
        <v>45642</v>
      </c>
      <c r="I425" s="29" t="s">
        <v>16</v>
      </c>
      <c r="J425" s="29" t="s">
        <v>17</v>
      </c>
      <c r="K425" s="29">
        <v>654.1</v>
      </c>
      <c r="L425" s="28" t="s">
        <v>18</v>
      </c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</row>
    <row r="426" spans="1:24" ht="14.25" customHeight="1">
      <c r="A426" s="28" t="s">
        <v>486</v>
      </c>
      <c r="B426" s="29" t="s">
        <v>14</v>
      </c>
      <c r="C426" s="29" t="s">
        <v>28</v>
      </c>
      <c r="D426" s="29">
        <v>1674.93</v>
      </c>
      <c r="E426" s="29">
        <v>0.48</v>
      </c>
      <c r="F426" s="29">
        <v>3</v>
      </c>
      <c r="G426" s="30">
        <v>45560</v>
      </c>
      <c r="H426" s="30">
        <v>45565</v>
      </c>
      <c r="I426" s="29" t="s">
        <v>42</v>
      </c>
      <c r="J426" s="29" t="s">
        <v>29</v>
      </c>
      <c r="K426" s="29">
        <v>84.32</v>
      </c>
      <c r="L426" s="28" t="s">
        <v>37</v>
      </c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</row>
    <row r="427" spans="1:24" ht="14.25" customHeight="1">
      <c r="A427" s="28" t="s">
        <v>487</v>
      </c>
      <c r="B427" s="29" t="s">
        <v>20</v>
      </c>
      <c r="C427" s="29" t="s">
        <v>47</v>
      </c>
      <c r="D427" s="29">
        <v>4419.57</v>
      </c>
      <c r="E427" s="29">
        <v>0.2</v>
      </c>
      <c r="F427" s="29">
        <v>5</v>
      </c>
      <c r="G427" s="30">
        <v>45058</v>
      </c>
      <c r="H427" s="30">
        <v>45060</v>
      </c>
      <c r="I427" s="29" t="s">
        <v>16</v>
      </c>
      <c r="J427" s="29" t="s">
        <v>23</v>
      </c>
      <c r="K427" s="29">
        <v>1237.73</v>
      </c>
      <c r="L427" s="28" t="s">
        <v>82</v>
      </c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</row>
    <row r="428" spans="1:24" ht="14.25" customHeight="1">
      <c r="A428" s="28" t="s">
        <v>488</v>
      </c>
      <c r="B428" s="29" t="s">
        <v>27</v>
      </c>
      <c r="C428" s="29" t="s">
        <v>52</v>
      </c>
      <c r="D428" s="29">
        <v>3319.66</v>
      </c>
      <c r="E428" s="29">
        <v>0.34</v>
      </c>
      <c r="F428" s="29">
        <v>5</v>
      </c>
      <c r="G428" s="30">
        <v>44978</v>
      </c>
      <c r="H428" s="30">
        <v>44980</v>
      </c>
      <c r="I428" s="29" t="s">
        <v>42</v>
      </c>
      <c r="J428" s="29" t="s">
        <v>23</v>
      </c>
      <c r="K428" s="29">
        <v>954.37</v>
      </c>
      <c r="L428" s="28" t="s">
        <v>74</v>
      </c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</row>
    <row r="429" spans="1:24" ht="14.25" customHeight="1">
      <c r="A429" s="28" t="s">
        <v>489</v>
      </c>
      <c r="B429" s="29" t="s">
        <v>35</v>
      </c>
      <c r="C429" s="29" t="s">
        <v>28</v>
      </c>
      <c r="D429" s="29">
        <v>1547.99</v>
      </c>
      <c r="E429" s="29">
        <v>0.32</v>
      </c>
      <c r="F429" s="29">
        <v>3</v>
      </c>
      <c r="G429" s="30">
        <v>45181</v>
      </c>
      <c r="H429" s="30">
        <v>45184</v>
      </c>
      <c r="I429" s="29" t="s">
        <v>16</v>
      </c>
      <c r="J429" s="29" t="s">
        <v>29</v>
      </c>
      <c r="K429" s="29">
        <v>162.33000000000001</v>
      </c>
      <c r="L429" s="28" t="s">
        <v>24</v>
      </c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</row>
    <row r="430" spans="1:24" ht="14.25" customHeight="1">
      <c r="A430" s="28" t="s">
        <v>490</v>
      </c>
      <c r="B430" s="29" t="s">
        <v>14</v>
      </c>
      <c r="C430" s="29" t="s">
        <v>15</v>
      </c>
      <c r="D430" s="29">
        <v>2369.66</v>
      </c>
      <c r="E430" s="29">
        <v>0.04</v>
      </c>
      <c r="F430" s="29">
        <v>6</v>
      </c>
      <c r="G430" s="30">
        <v>45235</v>
      </c>
      <c r="H430" s="30">
        <v>45241</v>
      </c>
      <c r="I430" s="29" t="s">
        <v>22</v>
      </c>
      <c r="J430" s="29" t="s">
        <v>17</v>
      </c>
      <c r="K430" s="29">
        <v>639.24</v>
      </c>
      <c r="L430" s="28" t="s">
        <v>25</v>
      </c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</row>
    <row r="431" spans="1:24" ht="14.25" customHeight="1">
      <c r="A431" s="28" t="s">
        <v>491</v>
      </c>
      <c r="B431" s="29" t="s">
        <v>20</v>
      </c>
      <c r="C431" s="29" t="s">
        <v>28</v>
      </c>
      <c r="D431" s="29">
        <v>4419.3500000000004</v>
      </c>
      <c r="E431" s="29">
        <v>0.37</v>
      </c>
      <c r="F431" s="29">
        <v>3</v>
      </c>
      <c r="G431" s="30">
        <v>45275</v>
      </c>
      <c r="H431" s="30">
        <v>45276</v>
      </c>
      <c r="I431" s="29" t="s">
        <v>22</v>
      </c>
      <c r="J431" s="29" t="s">
        <v>29</v>
      </c>
      <c r="K431" s="29">
        <v>872.99</v>
      </c>
      <c r="L431" s="28" t="s">
        <v>70</v>
      </c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</row>
    <row r="432" spans="1:24" ht="14.25" customHeight="1">
      <c r="A432" s="28" t="s">
        <v>492</v>
      </c>
      <c r="B432" s="29" t="s">
        <v>27</v>
      </c>
      <c r="C432" s="29" t="s">
        <v>21</v>
      </c>
      <c r="D432" s="29">
        <v>4526.93</v>
      </c>
      <c r="E432" s="29">
        <v>0.1</v>
      </c>
      <c r="F432" s="29">
        <v>4</v>
      </c>
      <c r="G432" s="30">
        <v>45196</v>
      </c>
      <c r="H432" s="30">
        <v>45198</v>
      </c>
      <c r="I432" s="29" t="s">
        <v>16</v>
      </c>
      <c r="J432" s="29" t="s">
        <v>29</v>
      </c>
      <c r="K432" s="29">
        <v>558.38</v>
      </c>
      <c r="L432" s="28" t="s">
        <v>54</v>
      </c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</row>
    <row r="433" spans="1:24" ht="14.25" customHeight="1">
      <c r="A433" s="28" t="s">
        <v>493</v>
      </c>
      <c r="B433" s="29" t="s">
        <v>35</v>
      </c>
      <c r="C433" s="29" t="s">
        <v>21</v>
      </c>
      <c r="D433" s="29">
        <v>3330.58</v>
      </c>
      <c r="E433" s="29">
        <v>0.19</v>
      </c>
      <c r="F433" s="29">
        <v>3</v>
      </c>
      <c r="G433" s="30">
        <v>45331</v>
      </c>
      <c r="H433" s="30">
        <v>45334</v>
      </c>
      <c r="I433" s="29" t="s">
        <v>42</v>
      </c>
      <c r="J433" s="29" t="s">
        <v>17</v>
      </c>
      <c r="K433" s="29">
        <v>728.97</v>
      </c>
      <c r="L433" s="28" t="s">
        <v>113</v>
      </c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</row>
    <row r="434" spans="1:24" ht="14.25" customHeight="1">
      <c r="A434" s="28" t="s">
        <v>494</v>
      </c>
      <c r="B434" s="29" t="s">
        <v>14</v>
      </c>
      <c r="C434" s="29" t="s">
        <v>28</v>
      </c>
      <c r="D434" s="29">
        <v>3689.52</v>
      </c>
      <c r="E434" s="29">
        <v>0.39</v>
      </c>
      <c r="F434" s="29">
        <v>6</v>
      </c>
      <c r="G434" s="30">
        <v>45543</v>
      </c>
      <c r="H434" s="30">
        <v>45548</v>
      </c>
      <c r="I434" s="29" t="s">
        <v>42</v>
      </c>
      <c r="J434" s="29" t="s">
        <v>17</v>
      </c>
      <c r="K434" s="29">
        <v>920.08</v>
      </c>
      <c r="L434" s="28" t="s">
        <v>59</v>
      </c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</row>
    <row r="435" spans="1:24" ht="14.25" customHeight="1">
      <c r="A435" s="28" t="s">
        <v>495</v>
      </c>
      <c r="B435" s="29" t="s">
        <v>20</v>
      </c>
      <c r="C435" s="29" t="s">
        <v>52</v>
      </c>
      <c r="D435" s="29">
        <v>292.56</v>
      </c>
      <c r="E435" s="29">
        <v>0.47</v>
      </c>
      <c r="F435" s="29">
        <v>9</v>
      </c>
      <c r="G435" s="30">
        <v>45085</v>
      </c>
      <c r="H435" s="30">
        <v>45088</v>
      </c>
      <c r="I435" s="29" t="s">
        <v>22</v>
      </c>
      <c r="J435" s="29" t="s">
        <v>23</v>
      </c>
      <c r="K435" s="29">
        <v>45.46</v>
      </c>
      <c r="L435" s="28" t="s">
        <v>59</v>
      </c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</row>
    <row r="436" spans="1:24" ht="14.25" customHeight="1">
      <c r="A436" s="28" t="s">
        <v>496</v>
      </c>
      <c r="B436" s="29" t="s">
        <v>27</v>
      </c>
      <c r="C436" s="29" t="s">
        <v>21</v>
      </c>
      <c r="D436" s="29">
        <v>3062.54</v>
      </c>
      <c r="E436" s="29">
        <v>0.28000000000000003</v>
      </c>
      <c r="F436" s="29">
        <v>3</v>
      </c>
      <c r="G436" s="30">
        <v>45095</v>
      </c>
      <c r="H436" s="30">
        <v>45102</v>
      </c>
      <c r="I436" s="29" t="s">
        <v>42</v>
      </c>
      <c r="J436" s="29" t="s">
        <v>29</v>
      </c>
      <c r="K436" s="29">
        <v>628.74</v>
      </c>
      <c r="L436" s="28" t="s">
        <v>84</v>
      </c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</row>
    <row r="437" spans="1:24" ht="14.25" customHeight="1">
      <c r="A437" s="28" t="s">
        <v>497</v>
      </c>
      <c r="B437" s="29" t="s">
        <v>35</v>
      </c>
      <c r="C437" s="29" t="s">
        <v>21</v>
      </c>
      <c r="D437" s="29">
        <v>3476.06</v>
      </c>
      <c r="E437" s="29">
        <v>0.26</v>
      </c>
      <c r="F437" s="29">
        <v>1</v>
      </c>
      <c r="G437" s="30">
        <v>45573</v>
      </c>
      <c r="H437" s="30">
        <v>45580</v>
      </c>
      <c r="I437" s="29" t="s">
        <v>22</v>
      </c>
      <c r="J437" s="29" t="s">
        <v>23</v>
      </c>
      <c r="K437" s="29">
        <v>348.92</v>
      </c>
      <c r="L437" s="28" t="s">
        <v>118</v>
      </c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</row>
    <row r="438" spans="1:24" ht="14.25" customHeight="1">
      <c r="A438" s="28" t="s">
        <v>498</v>
      </c>
      <c r="B438" s="29" t="s">
        <v>14</v>
      </c>
      <c r="C438" s="29" t="s">
        <v>15</v>
      </c>
      <c r="D438" s="29">
        <v>199.85</v>
      </c>
      <c r="E438" s="29">
        <v>0.25</v>
      </c>
      <c r="F438" s="29">
        <v>7</v>
      </c>
      <c r="G438" s="30">
        <v>45499</v>
      </c>
      <c r="H438" s="30">
        <v>45506</v>
      </c>
      <c r="I438" s="29" t="s">
        <v>16</v>
      </c>
      <c r="J438" s="29" t="s">
        <v>17</v>
      </c>
      <c r="K438" s="29">
        <v>11.62</v>
      </c>
      <c r="L438" s="28" t="s">
        <v>54</v>
      </c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</row>
    <row r="439" spans="1:24" ht="14.25" customHeight="1">
      <c r="A439" s="28" t="s">
        <v>499</v>
      </c>
      <c r="B439" s="29" t="s">
        <v>20</v>
      </c>
      <c r="C439" s="29" t="s">
        <v>28</v>
      </c>
      <c r="D439" s="29">
        <v>4234.91</v>
      </c>
      <c r="E439" s="29">
        <v>0.41</v>
      </c>
      <c r="F439" s="29">
        <v>5</v>
      </c>
      <c r="G439" s="30">
        <v>45197</v>
      </c>
      <c r="H439" s="30">
        <v>45200</v>
      </c>
      <c r="I439" s="29" t="s">
        <v>16</v>
      </c>
      <c r="J439" s="29" t="s">
        <v>29</v>
      </c>
      <c r="K439" s="29">
        <v>1202.19</v>
      </c>
      <c r="L439" s="28" t="s">
        <v>25</v>
      </c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</row>
    <row r="440" spans="1:24" ht="14.25" customHeight="1">
      <c r="A440" s="28" t="s">
        <v>500</v>
      </c>
      <c r="B440" s="29" t="s">
        <v>27</v>
      </c>
      <c r="C440" s="29" t="s">
        <v>21</v>
      </c>
      <c r="D440" s="29">
        <v>4648.6000000000004</v>
      </c>
      <c r="E440" s="29">
        <v>0.5</v>
      </c>
      <c r="F440" s="29">
        <v>4</v>
      </c>
      <c r="G440" s="30">
        <v>45544</v>
      </c>
      <c r="H440" s="30">
        <v>45550</v>
      </c>
      <c r="I440" s="29" t="s">
        <v>16</v>
      </c>
      <c r="J440" s="29" t="s">
        <v>29</v>
      </c>
      <c r="K440" s="29">
        <v>411.68</v>
      </c>
      <c r="L440" s="28" t="s">
        <v>118</v>
      </c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</row>
    <row r="441" spans="1:24" ht="14.25" customHeight="1">
      <c r="A441" s="28" t="s">
        <v>501</v>
      </c>
      <c r="B441" s="29" t="s">
        <v>35</v>
      </c>
      <c r="C441" s="29" t="s">
        <v>52</v>
      </c>
      <c r="D441" s="29">
        <v>1265.8900000000001</v>
      </c>
      <c r="E441" s="29">
        <v>0.32</v>
      </c>
      <c r="F441" s="29">
        <v>3</v>
      </c>
      <c r="G441" s="30">
        <v>45403</v>
      </c>
      <c r="H441" s="30">
        <v>45410</v>
      </c>
      <c r="I441" s="29" t="s">
        <v>22</v>
      </c>
      <c r="J441" s="29" t="s">
        <v>29</v>
      </c>
      <c r="K441" s="29">
        <v>225.89</v>
      </c>
      <c r="L441" s="28" t="s">
        <v>56</v>
      </c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</row>
    <row r="442" spans="1:24" ht="14.25" customHeight="1">
      <c r="A442" s="28" t="s">
        <v>502</v>
      </c>
      <c r="B442" s="29" t="s">
        <v>14</v>
      </c>
      <c r="C442" s="29" t="s">
        <v>47</v>
      </c>
      <c r="D442" s="29">
        <v>4244.3999999999996</v>
      </c>
      <c r="E442" s="29">
        <v>0.19</v>
      </c>
      <c r="F442" s="29">
        <v>7</v>
      </c>
      <c r="G442" s="30">
        <v>45325</v>
      </c>
      <c r="H442" s="30">
        <v>45328</v>
      </c>
      <c r="I442" s="29" t="s">
        <v>16</v>
      </c>
      <c r="J442" s="29" t="s">
        <v>17</v>
      </c>
      <c r="K442" s="29">
        <v>302.62</v>
      </c>
      <c r="L442" s="28" t="s">
        <v>87</v>
      </c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</row>
    <row r="443" spans="1:24" ht="14.25" customHeight="1">
      <c r="A443" s="28" t="s">
        <v>503</v>
      </c>
      <c r="B443" s="29" t="s">
        <v>20</v>
      </c>
      <c r="C443" s="29" t="s">
        <v>28</v>
      </c>
      <c r="D443" s="29">
        <v>3361.01</v>
      </c>
      <c r="E443" s="29">
        <v>0.11</v>
      </c>
      <c r="F443" s="29">
        <v>2</v>
      </c>
      <c r="G443" s="30">
        <v>45267</v>
      </c>
      <c r="H443" s="30">
        <v>45274</v>
      </c>
      <c r="I443" s="29" t="s">
        <v>42</v>
      </c>
      <c r="J443" s="29" t="s">
        <v>17</v>
      </c>
      <c r="K443" s="29">
        <v>887.13</v>
      </c>
      <c r="L443" s="28" t="s">
        <v>118</v>
      </c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</row>
    <row r="444" spans="1:24" ht="14.25" customHeight="1">
      <c r="A444" s="28" t="s">
        <v>504</v>
      </c>
      <c r="B444" s="29" t="s">
        <v>27</v>
      </c>
      <c r="C444" s="29" t="s">
        <v>15</v>
      </c>
      <c r="D444" s="29">
        <v>2945.41</v>
      </c>
      <c r="E444" s="29">
        <v>0.1</v>
      </c>
      <c r="F444" s="29">
        <v>4</v>
      </c>
      <c r="G444" s="30">
        <v>45543</v>
      </c>
      <c r="H444" s="30">
        <v>45544</v>
      </c>
      <c r="I444" s="29" t="s">
        <v>22</v>
      </c>
      <c r="J444" s="29" t="s">
        <v>29</v>
      </c>
      <c r="K444" s="29">
        <v>715.35</v>
      </c>
      <c r="L444" s="28" t="s">
        <v>63</v>
      </c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</row>
    <row r="445" spans="1:24" ht="14.25" customHeight="1">
      <c r="A445" s="28" t="s">
        <v>505</v>
      </c>
      <c r="B445" s="29" t="s">
        <v>35</v>
      </c>
      <c r="C445" s="29" t="s">
        <v>21</v>
      </c>
      <c r="D445" s="29">
        <v>4231.32</v>
      </c>
      <c r="E445" s="29">
        <v>0.43</v>
      </c>
      <c r="F445" s="29">
        <v>2</v>
      </c>
      <c r="G445" s="30">
        <v>45526</v>
      </c>
      <c r="H445" s="30">
        <v>45529</v>
      </c>
      <c r="I445" s="29" t="s">
        <v>42</v>
      </c>
      <c r="J445" s="29" t="s">
        <v>29</v>
      </c>
      <c r="K445" s="29">
        <v>416.16</v>
      </c>
      <c r="L445" s="28" t="s">
        <v>70</v>
      </c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</row>
    <row r="446" spans="1:24" ht="14.25" customHeight="1">
      <c r="A446" s="28" t="s">
        <v>506</v>
      </c>
      <c r="B446" s="29" t="s">
        <v>14</v>
      </c>
      <c r="C446" s="29" t="s">
        <v>52</v>
      </c>
      <c r="D446" s="29">
        <v>1499.49</v>
      </c>
      <c r="E446" s="29">
        <v>0.5</v>
      </c>
      <c r="F446" s="29">
        <v>8</v>
      </c>
      <c r="G446" s="30">
        <v>44933</v>
      </c>
      <c r="H446" s="30">
        <v>44938</v>
      </c>
      <c r="I446" s="29" t="s">
        <v>16</v>
      </c>
      <c r="J446" s="29" t="s">
        <v>17</v>
      </c>
      <c r="K446" s="29">
        <v>380.04</v>
      </c>
      <c r="L446" s="28" t="s">
        <v>84</v>
      </c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</row>
    <row r="447" spans="1:24" ht="14.25" customHeight="1">
      <c r="A447" s="28" t="s">
        <v>507</v>
      </c>
      <c r="B447" s="29" t="s">
        <v>20</v>
      </c>
      <c r="C447" s="29" t="s">
        <v>28</v>
      </c>
      <c r="D447" s="29">
        <v>3975.2</v>
      </c>
      <c r="E447" s="29">
        <v>0.35</v>
      </c>
      <c r="F447" s="29">
        <v>3</v>
      </c>
      <c r="G447" s="30">
        <v>44950</v>
      </c>
      <c r="H447" s="30">
        <v>44952</v>
      </c>
      <c r="I447" s="29" t="s">
        <v>22</v>
      </c>
      <c r="J447" s="29" t="s">
        <v>17</v>
      </c>
      <c r="K447" s="29">
        <v>537.94000000000005</v>
      </c>
      <c r="L447" s="28" t="s">
        <v>87</v>
      </c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</row>
    <row r="448" spans="1:24" ht="14.25" customHeight="1">
      <c r="A448" s="28" t="s">
        <v>508</v>
      </c>
      <c r="B448" s="29" t="s">
        <v>27</v>
      </c>
      <c r="C448" s="29" t="s">
        <v>52</v>
      </c>
      <c r="D448" s="29">
        <v>1641.15</v>
      </c>
      <c r="E448" s="29">
        <v>0.48</v>
      </c>
      <c r="F448" s="29">
        <v>5</v>
      </c>
      <c r="G448" s="30">
        <v>45495</v>
      </c>
      <c r="H448" s="30">
        <v>45502</v>
      </c>
      <c r="I448" s="29" t="s">
        <v>22</v>
      </c>
      <c r="J448" s="29" t="s">
        <v>17</v>
      </c>
      <c r="K448" s="29">
        <v>426.36</v>
      </c>
      <c r="L448" s="28" t="s">
        <v>84</v>
      </c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</row>
    <row r="449" spans="1:24" ht="14.25" customHeight="1">
      <c r="A449" s="28" t="s">
        <v>509</v>
      </c>
      <c r="B449" s="29" t="s">
        <v>35</v>
      </c>
      <c r="C449" s="29" t="s">
        <v>52</v>
      </c>
      <c r="D449" s="29">
        <v>3958.54</v>
      </c>
      <c r="E449" s="29">
        <v>0.17</v>
      </c>
      <c r="F449" s="29">
        <v>4</v>
      </c>
      <c r="G449" s="30">
        <v>45653</v>
      </c>
      <c r="H449" s="30">
        <v>45660</v>
      </c>
      <c r="I449" s="29" t="s">
        <v>22</v>
      </c>
      <c r="J449" s="29" t="s">
        <v>29</v>
      </c>
      <c r="K449" s="29">
        <v>446.02</v>
      </c>
      <c r="L449" s="28" t="s">
        <v>24</v>
      </c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</row>
    <row r="450" spans="1:24" ht="14.25" customHeight="1">
      <c r="A450" s="28" t="s">
        <v>510</v>
      </c>
      <c r="B450" s="29" t="s">
        <v>14</v>
      </c>
      <c r="C450" s="29" t="s">
        <v>15</v>
      </c>
      <c r="D450" s="29">
        <v>2310.16</v>
      </c>
      <c r="E450" s="29">
        <v>0.31</v>
      </c>
      <c r="F450" s="29">
        <v>5</v>
      </c>
      <c r="G450" s="30">
        <v>45246</v>
      </c>
      <c r="H450" s="30">
        <v>45250</v>
      </c>
      <c r="I450" s="29" t="s">
        <v>16</v>
      </c>
      <c r="J450" s="29" t="s">
        <v>23</v>
      </c>
      <c r="K450" s="29">
        <v>387.87</v>
      </c>
      <c r="L450" s="28" t="s">
        <v>37</v>
      </c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</row>
    <row r="451" spans="1:24" ht="14.25" customHeight="1">
      <c r="A451" s="28" t="s">
        <v>511</v>
      </c>
      <c r="B451" s="29" t="s">
        <v>20</v>
      </c>
      <c r="C451" s="29" t="s">
        <v>28</v>
      </c>
      <c r="D451" s="29">
        <v>673.03</v>
      </c>
      <c r="E451" s="29">
        <v>0.26</v>
      </c>
      <c r="F451" s="29">
        <v>4</v>
      </c>
      <c r="G451" s="30">
        <v>45463</v>
      </c>
      <c r="H451" s="30">
        <v>45470</v>
      </c>
      <c r="I451" s="29" t="s">
        <v>22</v>
      </c>
      <c r="J451" s="29" t="s">
        <v>23</v>
      </c>
      <c r="K451" s="29">
        <v>77.650000000000006</v>
      </c>
      <c r="L451" s="28" t="s">
        <v>36</v>
      </c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</row>
    <row r="452" spans="1:24" ht="14.25" customHeight="1">
      <c r="A452" s="28" t="s">
        <v>512</v>
      </c>
      <c r="B452" s="29" t="s">
        <v>27</v>
      </c>
      <c r="C452" s="29" t="s">
        <v>21</v>
      </c>
      <c r="D452" s="29">
        <v>1969.45</v>
      </c>
      <c r="E452" s="29">
        <v>0.24</v>
      </c>
      <c r="F452" s="29">
        <v>8</v>
      </c>
      <c r="G452" s="30">
        <v>45382</v>
      </c>
      <c r="H452" s="30">
        <v>45388</v>
      </c>
      <c r="I452" s="29" t="s">
        <v>22</v>
      </c>
      <c r="J452" s="29" t="s">
        <v>29</v>
      </c>
      <c r="K452" s="29">
        <v>428.31</v>
      </c>
      <c r="L452" s="28" t="s">
        <v>63</v>
      </c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</row>
    <row r="453" spans="1:24" ht="14.25" customHeight="1">
      <c r="A453" s="28" t="s">
        <v>513</v>
      </c>
      <c r="B453" s="29" t="s">
        <v>35</v>
      </c>
      <c r="C453" s="29" t="s">
        <v>15</v>
      </c>
      <c r="D453" s="29">
        <v>1244.1199999999999</v>
      </c>
      <c r="E453" s="29">
        <v>0.32</v>
      </c>
      <c r="F453" s="29">
        <v>6</v>
      </c>
      <c r="G453" s="30">
        <v>45344</v>
      </c>
      <c r="H453" s="30">
        <v>45345</v>
      </c>
      <c r="I453" s="29" t="s">
        <v>16</v>
      </c>
      <c r="J453" s="29" t="s">
        <v>23</v>
      </c>
      <c r="K453" s="29">
        <v>79.13</v>
      </c>
      <c r="L453" s="28" t="s">
        <v>82</v>
      </c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</row>
    <row r="454" spans="1:24" ht="14.25" customHeight="1">
      <c r="A454" s="28" t="s">
        <v>514</v>
      </c>
      <c r="B454" s="29" t="s">
        <v>14</v>
      </c>
      <c r="C454" s="29" t="s">
        <v>21</v>
      </c>
      <c r="D454" s="29">
        <v>592.6</v>
      </c>
      <c r="E454" s="29">
        <v>0.16</v>
      </c>
      <c r="F454" s="29">
        <v>1</v>
      </c>
      <c r="G454" s="30">
        <v>45409</v>
      </c>
      <c r="H454" s="30">
        <v>45413</v>
      </c>
      <c r="I454" s="29" t="s">
        <v>16</v>
      </c>
      <c r="J454" s="29" t="s">
        <v>29</v>
      </c>
      <c r="K454" s="29">
        <v>115.42</v>
      </c>
      <c r="L454" s="28" t="s">
        <v>113</v>
      </c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</row>
    <row r="455" spans="1:24" ht="14.25" customHeight="1">
      <c r="A455" s="28" t="s">
        <v>515</v>
      </c>
      <c r="B455" s="29" t="s">
        <v>20</v>
      </c>
      <c r="C455" s="29" t="s">
        <v>47</v>
      </c>
      <c r="D455" s="29">
        <v>640.41</v>
      </c>
      <c r="E455" s="29">
        <v>0.32</v>
      </c>
      <c r="F455" s="29">
        <v>5</v>
      </c>
      <c r="G455" s="30">
        <v>45492</v>
      </c>
      <c r="H455" s="30">
        <v>45499</v>
      </c>
      <c r="I455" s="29" t="s">
        <v>42</v>
      </c>
      <c r="J455" s="29" t="s">
        <v>23</v>
      </c>
      <c r="K455" s="29">
        <v>150.09</v>
      </c>
      <c r="L455" s="28" t="s">
        <v>70</v>
      </c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</row>
    <row r="456" spans="1:24" ht="14.25" customHeight="1">
      <c r="A456" s="28" t="s">
        <v>516</v>
      </c>
      <c r="B456" s="29" t="s">
        <v>27</v>
      </c>
      <c r="C456" s="29" t="s">
        <v>52</v>
      </c>
      <c r="D456" s="29">
        <v>3922.35</v>
      </c>
      <c r="E456" s="29">
        <v>0.34</v>
      </c>
      <c r="F456" s="29">
        <v>1</v>
      </c>
      <c r="G456" s="30">
        <v>45012</v>
      </c>
      <c r="H456" s="30">
        <v>45018</v>
      </c>
      <c r="I456" s="29" t="s">
        <v>42</v>
      </c>
      <c r="J456" s="29" t="s">
        <v>29</v>
      </c>
      <c r="K456" s="29">
        <v>387.72</v>
      </c>
      <c r="L456" s="28" t="s">
        <v>56</v>
      </c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</row>
    <row r="457" spans="1:24" ht="14.25" customHeight="1">
      <c r="A457" s="28" t="s">
        <v>517</v>
      </c>
      <c r="B457" s="29" t="s">
        <v>35</v>
      </c>
      <c r="C457" s="29" t="s">
        <v>47</v>
      </c>
      <c r="D457" s="29">
        <v>4418.8500000000004</v>
      </c>
      <c r="E457" s="29">
        <v>0.42</v>
      </c>
      <c r="F457" s="29">
        <v>3</v>
      </c>
      <c r="G457" s="30">
        <v>45429</v>
      </c>
      <c r="H457" s="30">
        <v>45435</v>
      </c>
      <c r="I457" s="29" t="s">
        <v>42</v>
      </c>
      <c r="J457" s="29" t="s">
        <v>17</v>
      </c>
      <c r="K457" s="29">
        <v>482.71</v>
      </c>
      <c r="L457" s="28" t="s">
        <v>37</v>
      </c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</row>
    <row r="458" spans="1:24" ht="14.25" customHeight="1">
      <c r="A458" s="28" t="s">
        <v>518</v>
      </c>
      <c r="B458" s="29" t="s">
        <v>14</v>
      </c>
      <c r="C458" s="29" t="s">
        <v>52</v>
      </c>
      <c r="D458" s="29">
        <v>4642.93</v>
      </c>
      <c r="E458" s="29">
        <v>0.37</v>
      </c>
      <c r="F458" s="29">
        <v>6</v>
      </c>
      <c r="G458" s="30">
        <v>45290</v>
      </c>
      <c r="H458" s="30">
        <v>45293</v>
      </c>
      <c r="I458" s="29" t="s">
        <v>22</v>
      </c>
      <c r="J458" s="29" t="s">
        <v>23</v>
      </c>
      <c r="K458" s="29">
        <v>1074.45</v>
      </c>
      <c r="L458" s="28" t="s">
        <v>118</v>
      </c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</row>
    <row r="459" spans="1:24" ht="14.25" customHeight="1">
      <c r="A459" s="28" t="s">
        <v>519</v>
      </c>
      <c r="B459" s="29" t="s">
        <v>20</v>
      </c>
      <c r="C459" s="29" t="s">
        <v>15</v>
      </c>
      <c r="D459" s="29">
        <v>4284.34</v>
      </c>
      <c r="E459" s="29">
        <v>0.16</v>
      </c>
      <c r="F459" s="29">
        <v>9</v>
      </c>
      <c r="G459" s="30">
        <v>44963</v>
      </c>
      <c r="H459" s="30">
        <v>44964</v>
      </c>
      <c r="I459" s="29" t="s">
        <v>16</v>
      </c>
      <c r="J459" s="29" t="s">
        <v>23</v>
      </c>
      <c r="K459" s="29">
        <v>659.46</v>
      </c>
      <c r="L459" s="28" t="s">
        <v>18</v>
      </c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</row>
    <row r="460" spans="1:24" ht="14.25" customHeight="1">
      <c r="A460" s="28" t="s">
        <v>520</v>
      </c>
      <c r="B460" s="29" t="s">
        <v>27</v>
      </c>
      <c r="C460" s="29" t="s">
        <v>21</v>
      </c>
      <c r="D460" s="29">
        <v>4168.1000000000004</v>
      </c>
      <c r="E460" s="29">
        <v>0.23</v>
      </c>
      <c r="F460" s="29">
        <v>3</v>
      </c>
      <c r="G460" s="30">
        <v>45212</v>
      </c>
      <c r="H460" s="30">
        <v>45217</v>
      </c>
      <c r="I460" s="29" t="s">
        <v>42</v>
      </c>
      <c r="J460" s="29" t="s">
        <v>17</v>
      </c>
      <c r="K460" s="29">
        <v>857.48</v>
      </c>
      <c r="L460" s="28" t="s">
        <v>74</v>
      </c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</row>
    <row r="461" spans="1:24" ht="14.25" customHeight="1">
      <c r="A461" s="28" t="s">
        <v>521</v>
      </c>
      <c r="B461" s="29" t="s">
        <v>35</v>
      </c>
      <c r="C461" s="29" t="s">
        <v>21</v>
      </c>
      <c r="D461" s="29">
        <v>437.3</v>
      </c>
      <c r="E461" s="29">
        <v>0.06</v>
      </c>
      <c r="F461" s="29">
        <v>4</v>
      </c>
      <c r="G461" s="30">
        <v>45433</v>
      </c>
      <c r="H461" s="30">
        <v>45437</v>
      </c>
      <c r="I461" s="29" t="s">
        <v>42</v>
      </c>
      <c r="J461" s="29" t="s">
        <v>23</v>
      </c>
      <c r="K461" s="29">
        <v>68.510000000000005</v>
      </c>
      <c r="L461" s="28" t="s">
        <v>84</v>
      </c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</row>
    <row r="462" spans="1:24" ht="14.25" customHeight="1">
      <c r="A462" s="28" t="s">
        <v>522</v>
      </c>
      <c r="B462" s="29" t="s">
        <v>14</v>
      </c>
      <c r="C462" s="29" t="s">
        <v>15</v>
      </c>
      <c r="D462" s="29">
        <v>3971.61</v>
      </c>
      <c r="E462" s="29">
        <v>0.13</v>
      </c>
      <c r="F462" s="29">
        <v>1</v>
      </c>
      <c r="G462" s="30">
        <v>45552</v>
      </c>
      <c r="H462" s="30">
        <v>45554</v>
      </c>
      <c r="I462" s="29" t="s">
        <v>16</v>
      </c>
      <c r="J462" s="29" t="s">
        <v>29</v>
      </c>
      <c r="K462" s="29">
        <v>614.4</v>
      </c>
      <c r="L462" s="28" t="s">
        <v>70</v>
      </c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</row>
    <row r="463" spans="1:24" ht="14.25" customHeight="1">
      <c r="A463" s="28" t="s">
        <v>523</v>
      </c>
      <c r="B463" s="29" t="s">
        <v>20</v>
      </c>
      <c r="C463" s="29" t="s">
        <v>28</v>
      </c>
      <c r="D463" s="29">
        <v>3938.09</v>
      </c>
      <c r="E463" s="29">
        <v>0.26</v>
      </c>
      <c r="F463" s="29">
        <v>2</v>
      </c>
      <c r="G463" s="30">
        <v>45114</v>
      </c>
      <c r="H463" s="30">
        <v>45120</v>
      </c>
      <c r="I463" s="29" t="s">
        <v>22</v>
      </c>
      <c r="J463" s="29" t="s">
        <v>29</v>
      </c>
      <c r="K463" s="29">
        <v>492.8</v>
      </c>
      <c r="L463" s="28" t="s">
        <v>87</v>
      </c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</row>
    <row r="464" spans="1:24" ht="14.25" customHeight="1">
      <c r="A464" s="28" t="s">
        <v>524</v>
      </c>
      <c r="B464" s="29" t="s">
        <v>27</v>
      </c>
      <c r="C464" s="29" t="s">
        <v>47</v>
      </c>
      <c r="D464" s="29">
        <v>743.32</v>
      </c>
      <c r="E464" s="29">
        <v>0.05</v>
      </c>
      <c r="F464" s="29">
        <v>7</v>
      </c>
      <c r="G464" s="30">
        <v>45056</v>
      </c>
      <c r="H464" s="30">
        <v>45061</v>
      </c>
      <c r="I464" s="29" t="s">
        <v>16</v>
      </c>
      <c r="J464" s="29" t="s">
        <v>17</v>
      </c>
      <c r="K464" s="29">
        <v>145.88999999999999</v>
      </c>
      <c r="L464" s="28" t="s">
        <v>70</v>
      </c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</row>
    <row r="465" spans="1:24" ht="14.25" customHeight="1">
      <c r="A465" s="28" t="s">
        <v>525</v>
      </c>
      <c r="B465" s="29" t="s">
        <v>35</v>
      </c>
      <c r="C465" s="29" t="s">
        <v>47</v>
      </c>
      <c r="D465" s="29">
        <v>3343.85</v>
      </c>
      <c r="E465" s="29">
        <v>0.28999999999999998</v>
      </c>
      <c r="F465" s="29">
        <v>8</v>
      </c>
      <c r="G465" s="30">
        <v>45230</v>
      </c>
      <c r="H465" s="30">
        <v>45235</v>
      </c>
      <c r="I465" s="29" t="s">
        <v>16</v>
      </c>
      <c r="J465" s="29" t="s">
        <v>23</v>
      </c>
      <c r="K465" s="29">
        <v>668.21</v>
      </c>
      <c r="L465" s="28" t="s">
        <v>30</v>
      </c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</row>
    <row r="466" spans="1:24" ht="14.25" customHeight="1">
      <c r="A466" s="28" t="s">
        <v>526</v>
      </c>
      <c r="B466" s="29" t="s">
        <v>14</v>
      </c>
      <c r="C466" s="29" t="s">
        <v>21</v>
      </c>
      <c r="D466" s="29">
        <v>2317.29</v>
      </c>
      <c r="E466" s="29">
        <v>0.2</v>
      </c>
      <c r="F466" s="29">
        <v>1</v>
      </c>
      <c r="G466" s="30">
        <v>45653</v>
      </c>
      <c r="H466" s="30">
        <v>45657</v>
      </c>
      <c r="I466" s="29" t="s">
        <v>16</v>
      </c>
      <c r="J466" s="29" t="s">
        <v>29</v>
      </c>
      <c r="K466" s="29">
        <v>551.62</v>
      </c>
      <c r="L466" s="28" t="s">
        <v>118</v>
      </c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</row>
    <row r="467" spans="1:24" ht="14.25" customHeight="1">
      <c r="A467" s="28" t="s">
        <v>527</v>
      </c>
      <c r="B467" s="29" t="s">
        <v>20</v>
      </c>
      <c r="C467" s="29" t="s">
        <v>21</v>
      </c>
      <c r="D467" s="29">
        <v>4510.07</v>
      </c>
      <c r="E467" s="29">
        <v>0.02</v>
      </c>
      <c r="F467" s="29">
        <v>9</v>
      </c>
      <c r="G467" s="30">
        <v>45462</v>
      </c>
      <c r="H467" s="30">
        <v>45464</v>
      </c>
      <c r="I467" s="29" t="s">
        <v>22</v>
      </c>
      <c r="J467" s="29" t="s">
        <v>17</v>
      </c>
      <c r="K467" s="29">
        <v>791.13</v>
      </c>
      <c r="L467" s="28" t="s">
        <v>74</v>
      </c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</row>
    <row r="468" spans="1:24" ht="14.25" customHeight="1">
      <c r="A468" s="28" t="s">
        <v>528</v>
      </c>
      <c r="B468" s="29" t="s">
        <v>27</v>
      </c>
      <c r="C468" s="29" t="s">
        <v>21</v>
      </c>
      <c r="D468" s="29">
        <v>3507.5</v>
      </c>
      <c r="E468" s="29">
        <v>0.22</v>
      </c>
      <c r="F468" s="29">
        <v>6</v>
      </c>
      <c r="G468" s="30">
        <v>45175</v>
      </c>
      <c r="H468" s="30">
        <v>45176</v>
      </c>
      <c r="I468" s="29" t="s">
        <v>42</v>
      </c>
      <c r="J468" s="29" t="s">
        <v>23</v>
      </c>
      <c r="K468" s="29">
        <v>668.11</v>
      </c>
      <c r="L468" s="28" t="s">
        <v>84</v>
      </c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</row>
    <row r="469" spans="1:24" ht="14.25" customHeight="1">
      <c r="A469" s="28" t="s">
        <v>529</v>
      </c>
      <c r="B469" s="29" t="s">
        <v>35</v>
      </c>
      <c r="C469" s="29" t="s">
        <v>15</v>
      </c>
      <c r="D469" s="29">
        <v>4759.84</v>
      </c>
      <c r="E469" s="29">
        <v>0.14000000000000001</v>
      </c>
      <c r="F469" s="29">
        <v>1</v>
      </c>
      <c r="G469" s="30">
        <v>45153</v>
      </c>
      <c r="H469" s="30">
        <v>45160</v>
      </c>
      <c r="I469" s="29" t="s">
        <v>42</v>
      </c>
      <c r="J469" s="29" t="s">
        <v>29</v>
      </c>
      <c r="K469" s="29">
        <v>1246.55</v>
      </c>
      <c r="L469" s="28" t="s">
        <v>74</v>
      </c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</row>
    <row r="470" spans="1:24" ht="14.25" customHeight="1">
      <c r="A470" s="28" t="s">
        <v>530</v>
      </c>
      <c r="B470" s="29" t="s">
        <v>14</v>
      </c>
      <c r="C470" s="29" t="s">
        <v>28</v>
      </c>
      <c r="D470" s="29">
        <v>614.12</v>
      </c>
      <c r="E470" s="29">
        <v>0.03</v>
      </c>
      <c r="F470" s="29">
        <v>4</v>
      </c>
      <c r="G470" s="30">
        <v>45638</v>
      </c>
      <c r="H470" s="30">
        <v>45643</v>
      </c>
      <c r="I470" s="29" t="s">
        <v>22</v>
      </c>
      <c r="J470" s="29" t="s">
        <v>23</v>
      </c>
      <c r="K470" s="29">
        <v>36.9</v>
      </c>
      <c r="L470" s="28" t="s">
        <v>59</v>
      </c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</row>
    <row r="471" spans="1:24" ht="14.25" customHeight="1">
      <c r="A471" s="28" t="s">
        <v>531</v>
      </c>
      <c r="B471" s="29" t="s">
        <v>20</v>
      </c>
      <c r="C471" s="29" t="s">
        <v>47</v>
      </c>
      <c r="D471" s="29">
        <v>298.98</v>
      </c>
      <c r="E471" s="29">
        <v>0.15</v>
      </c>
      <c r="F471" s="29">
        <v>4</v>
      </c>
      <c r="G471" s="30">
        <v>45410</v>
      </c>
      <c r="H471" s="30">
        <v>45411</v>
      </c>
      <c r="I471" s="29" t="s">
        <v>16</v>
      </c>
      <c r="J471" s="29" t="s">
        <v>23</v>
      </c>
      <c r="K471" s="29">
        <v>53.78</v>
      </c>
      <c r="L471" s="28" t="s">
        <v>30</v>
      </c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</row>
    <row r="472" spans="1:24" ht="14.25" customHeight="1">
      <c r="A472" s="28" t="s">
        <v>532</v>
      </c>
      <c r="B472" s="29" t="s">
        <v>27</v>
      </c>
      <c r="C472" s="29" t="s">
        <v>52</v>
      </c>
      <c r="D472" s="29">
        <v>4870.54</v>
      </c>
      <c r="E472" s="29">
        <v>0.15</v>
      </c>
      <c r="F472" s="29">
        <v>7</v>
      </c>
      <c r="G472" s="30">
        <v>45584</v>
      </c>
      <c r="H472" s="30">
        <v>45589</v>
      </c>
      <c r="I472" s="29" t="s">
        <v>16</v>
      </c>
      <c r="J472" s="29" t="s">
        <v>29</v>
      </c>
      <c r="K472" s="29">
        <v>397.26</v>
      </c>
      <c r="L472" s="28" t="s">
        <v>118</v>
      </c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</row>
    <row r="473" spans="1:24" ht="14.25" customHeight="1">
      <c r="A473" s="28" t="s">
        <v>533</v>
      </c>
      <c r="B473" s="29" t="s">
        <v>35</v>
      </c>
      <c r="C473" s="29" t="s">
        <v>15</v>
      </c>
      <c r="D473" s="29">
        <v>492.94</v>
      </c>
      <c r="E473" s="29">
        <v>0.18</v>
      </c>
      <c r="F473" s="29">
        <v>1</v>
      </c>
      <c r="G473" s="30">
        <v>45250</v>
      </c>
      <c r="H473" s="30">
        <v>45257</v>
      </c>
      <c r="I473" s="29" t="s">
        <v>42</v>
      </c>
      <c r="J473" s="29" t="s">
        <v>23</v>
      </c>
      <c r="K473" s="29">
        <v>109.12</v>
      </c>
      <c r="L473" s="28" t="s">
        <v>56</v>
      </c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</row>
    <row r="474" spans="1:24" ht="14.25" customHeight="1">
      <c r="A474" s="28" t="s">
        <v>534</v>
      </c>
      <c r="B474" s="29" t="s">
        <v>14</v>
      </c>
      <c r="C474" s="29" t="s">
        <v>47</v>
      </c>
      <c r="D474" s="29">
        <v>1992.36</v>
      </c>
      <c r="E474" s="29">
        <v>0.18</v>
      </c>
      <c r="F474" s="29">
        <v>9</v>
      </c>
      <c r="G474" s="30">
        <v>44934</v>
      </c>
      <c r="H474" s="30">
        <v>44937</v>
      </c>
      <c r="I474" s="29" t="s">
        <v>42</v>
      </c>
      <c r="J474" s="29" t="s">
        <v>29</v>
      </c>
      <c r="K474" s="29">
        <v>545.08000000000004</v>
      </c>
      <c r="L474" s="28" t="s">
        <v>74</v>
      </c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</row>
    <row r="475" spans="1:24" ht="14.25" customHeight="1">
      <c r="A475" s="28" t="s">
        <v>535</v>
      </c>
      <c r="B475" s="29" t="s">
        <v>20</v>
      </c>
      <c r="C475" s="29" t="s">
        <v>28</v>
      </c>
      <c r="D475" s="29">
        <v>3284.86</v>
      </c>
      <c r="E475" s="29">
        <v>0.21</v>
      </c>
      <c r="F475" s="29">
        <v>1</v>
      </c>
      <c r="G475" s="30">
        <v>44982</v>
      </c>
      <c r="H475" s="30">
        <v>44989</v>
      </c>
      <c r="I475" s="29" t="s">
        <v>16</v>
      </c>
      <c r="J475" s="29" t="s">
        <v>29</v>
      </c>
      <c r="K475" s="29">
        <v>512.98</v>
      </c>
      <c r="L475" s="28" t="s">
        <v>77</v>
      </c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</row>
    <row r="476" spans="1:24" ht="14.25" customHeight="1">
      <c r="A476" s="28" t="s">
        <v>536</v>
      </c>
      <c r="B476" s="29" t="s">
        <v>27</v>
      </c>
      <c r="C476" s="29" t="s">
        <v>15</v>
      </c>
      <c r="D476" s="29">
        <v>4412.28</v>
      </c>
      <c r="E476" s="29">
        <v>0.05</v>
      </c>
      <c r="F476" s="29">
        <v>3</v>
      </c>
      <c r="G476" s="30">
        <v>45499</v>
      </c>
      <c r="H476" s="30">
        <v>45505</v>
      </c>
      <c r="I476" s="29" t="s">
        <v>22</v>
      </c>
      <c r="J476" s="29" t="s">
        <v>29</v>
      </c>
      <c r="K476" s="29">
        <v>921.96</v>
      </c>
      <c r="L476" s="28" t="s">
        <v>18</v>
      </c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</row>
    <row r="477" spans="1:24" ht="14.25" customHeight="1">
      <c r="A477" s="28" t="s">
        <v>537</v>
      </c>
      <c r="B477" s="29" t="s">
        <v>35</v>
      </c>
      <c r="C477" s="29" t="s">
        <v>47</v>
      </c>
      <c r="D477" s="29">
        <v>1347.43</v>
      </c>
      <c r="E477" s="29">
        <v>0</v>
      </c>
      <c r="F477" s="29">
        <v>1</v>
      </c>
      <c r="G477" s="30">
        <v>45477</v>
      </c>
      <c r="H477" s="30">
        <v>45484</v>
      </c>
      <c r="I477" s="29" t="s">
        <v>42</v>
      </c>
      <c r="J477" s="29" t="s">
        <v>17</v>
      </c>
      <c r="K477" s="29">
        <v>191.82</v>
      </c>
      <c r="L477" s="28" t="s">
        <v>84</v>
      </c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</row>
    <row r="478" spans="1:24" ht="14.25" customHeight="1">
      <c r="A478" s="28" t="s">
        <v>538</v>
      </c>
      <c r="B478" s="29" t="s">
        <v>14</v>
      </c>
      <c r="C478" s="29" t="s">
        <v>15</v>
      </c>
      <c r="D478" s="29">
        <v>242.39</v>
      </c>
      <c r="E478" s="29">
        <v>0.37</v>
      </c>
      <c r="F478" s="29">
        <v>1</v>
      </c>
      <c r="G478" s="30">
        <v>45200</v>
      </c>
      <c r="H478" s="30">
        <v>45205</v>
      </c>
      <c r="I478" s="29" t="s">
        <v>22</v>
      </c>
      <c r="J478" s="29" t="s">
        <v>17</v>
      </c>
      <c r="K478" s="29">
        <v>57.92</v>
      </c>
      <c r="L478" s="28" t="s">
        <v>30</v>
      </c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</row>
    <row r="479" spans="1:24" ht="14.25" customHeight="1">
      <c r="A479" s="28" t="s">
        <v>539</v>
      </c>
      <c r="B479" s="29" t="s">
        <v>20</v>
      </c>
      <c r="C479" s="29" t="s">
        <v>47</v>
      </c>
      <c r="D479" s="29">
        <v>2654.31</v>
      </c>
      <c r="E479" s="29">
        <v>0.17</v>
      </c>
      <c r="F479" s="29">
        <v>4</v>
      </c>
      <c r="G479" s="30">
        <v>45023</v>
      </c>
      <c r="H479" s="30">
        <v>45024</v>
      </c>
      <c r="I479" s="29" t="s">
        <v>22</v>
      </c>
      <c r="J479" s="29" t="s">
        <v>23</v>
      </c>
      <c r="K479" s="29">
        <v>523.78</v>
      </c>
      <c r="L479" s="28" t="s">
        <v>59</v>
      </c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</row>
    <row r="480" spans="1:24" ht="14.25" customHeight="1">
      <c r="A480" s="28" t="s">
        <v>540</v>
      </c>
      <c r="B480" s="29" t="s">
        <v>27</v>
      </c>
      <c r="C480" s="29" t="s">
        <v>47</v>
      </c>
      <c r="D480" s="29">
        <v>2408.4499999999998</v>
      </c>
      <c r="E480" s="29">
        <v>0.31</v>
      </c>
      <c r="F480" s="29">
        <v>2</v>
      </c>
      <c r="G480" s="30">
        <v>45584</v>
      </c>
      <c r="H480" s="30">
        <v>45586</v>
      </c>
      <c r="I480" s="29" t="s">
        <v>16</v>
      </c>
      <c r="J480" s="29" t="s">
        <v>29</v>
      </c>
      <c r="K480" s="29">
        <v>485.96</v>
      </c>
      <c r="L480" s="28" t="s">
        <v>87</v>
      </c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</row>
    <row r="481" spans="1:24" ht="14.25" customHeight="1">
      <c r="A481" s="28" t="s">
        <v>541</v>
      </c>
      <c r="B481" s="29" t="s">
        <v>35</v>
      </c>
      <c r="C481" s="29" t="s">
        <v>28</v>
      </c>
      <c r="D481" s="29">
        <v>1603.78</v>
      </c>
      <c r="E481" s="29">
        <v>0.15</v>
      </c>
      <c r="F481" s="29">
        <v>9</v>
      </c>
      <c r="G481" s="30">
        <v>45024</v>
      </c>
      <c r="H481" s="30">
        <v>45028</v>
      </c>
      <c r="I481" s="29" t="s">
        <v>22</v>
      </c>
      <c r="J481" s="29" t="s">
        <v>29</v>
      </c>
      <c r="K481" s="29">
        <v>149.71</v>
      </c>
      <c r="L481" s="28" t="s">
        <v>118</v>
      </c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</row>
    <row r="482" spans="1:24" ht="14.25" customHeight="1">
      <c r="A482" s="28" t="s">
        <v>542</v>
      </c>
      <c r="B482" s="29" t="s">
        <v>14</v>
      </c>
      <c r="C482" s="29" t="s">
        <v>52</v>
      </c>
      <c r="D482" s="29">
        <v>4382.1099999999997</v>
      </c>
      <c r="E482" s="29">
        <v>0.49</v>
      </c>
      <c r="F482" s="29">
        <v>1</v>
      </c>
      <c r="G482" s="30">
        <v>45137</v>
      </c>
      <c r="H482" s="30">
        <v>45139</v>
      </c>
      <c r="I482" s="29" t="s">
        <v>16</v>
      </c>
      <c r="J482" s="29" t="s">
        <v>29</v>
      </c>
      <c r="K482" s="29">
        <v>226.6</v>
      </c>
      <c r="L482" s="28" t="s">
        <v>82</v>
      </c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</row>
    <row r="483" spans="1:24" ht="14.25" customHeight="1">
      <c r="A483" s="28" t="s">
        <v>543</v>
      </c>
      <c r="B483" s="29" t="s">
        <v>20</v>
      </c>
      <c r="C483" s="29" t="s">
        <v>28</v>
      </c>
      <c r="D483" s="29">
        <v>3771.68</v>
      </c>
      <c r="E483" s="29">
        <v>0.16</v>
      </c>
      <c r="F483" s="29">
        <v>3</v>
      </c>
      <c r="G483" s="30">
        <v>45480</v>
      </c>
      <c r="H483" s="30">
        <v>45485</v>
      </c>
      <c r="I483" s="29" t="s">
        <v>22</v>
      </c>
      <c r="J483" s="29" t="s">
        <v>17</v>
      </c>
      <c r="K483" s="29">
        <v>778.64</v>
      </c>
      <c r="L483" s="28" t="s">
        <v>77</v>
      </c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</row>
    <row r="484" spans="1:24" ht="14.25" customHeight="1">
      <c r="A484" s="28" t="s">
        <v>544</v>
      </c>
      <c r="B484" s="29" t="s">
        <v>27</v>
      </c>
      <c r="C484" s="29" t="s">
        <v>47</v>
      </c>
      <c r="D484" s="29">
        <v>4304.7700000000004</v>
      </c>
      <c r="E484" s="29">
        <v>0.3</v>
      </c>
      <c r="F484" s="29">
        <v>2</v>
      </c>
      <c r="G484" s="30">
        <v>45491</v>
      </c>
      <c r="H484" s="30">
        <v>45492</v>
      </c>
      <c r="I484" s="29" t="s">
        <v>42</v>
      </c>
      <c r="J484" s="29" t="s">
        <v>29</v>
      </c>
      <c r="K484" s="29">
        <v>336.04</v>
      </c>
      <c r="L484" s="28" t="s">
        <v>84</v>
      </c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</row>
    <row r="485" spans="1:24" ht="14.25" customHeight="1">
      <c r="A485" s="28" t="s">
        <v>545</v>
      </c>
      <c r="B485" s="29" t="s">
        <v>35</v>
      </c>
      <c r="C485" s="29" t="s">
        <v>15</v>
      </c>
      <c r="D485" s="29">
        <v>892.86</v>
      </c>
      <c r="E485" s="29">
        <v>0.11</v>
      </c>
      <c r="F485" s="29">
        <v>1</v>
      </c>
      <c r="G485" s="30">
        <v>44959</v>
      </c>
      <c r="H485" s="30">
        <v>44962</v>
      </c>
      <c r="I485" s="29" t="s">
        <v>16</v>
      </c>
      <c r="J485" s="29" t="s">
        <v>23</v>
      </c>
      <c r="K485" s="29">
        <v>74.44</v>
      </c>
      <c r="L485" s="28" t="s">
        <v>113</v>
      </c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</row>
    <row r="486" spans="1:24" ht="14.25" customHeight="1">
      <c r="A486" s="28" t="s">
        <v>546</v>
      </c>
      <c r="B486" s="29" t="s">
        <v>14</v>
      </c>
      <c r="C486" s="29" t="s">
        <v>28</v>
      </c>
      <c r="D486" s="29">
        <v>3492.82</v>
      </c>
      <c r="E486" s="29">
        <v>0.26</v>
      </c>
      <c r="F486" s="29">
        <v>9</v>
      </c>
      <c r="G486" s="30">
        <v>45203</v>
      </c>
      <c r="H486" s="30">
        <v>45205</v>
      </c>
      <c r="I486" s="29" t="s">
        <v>16</v>
      </c>
      <c r="J486" s="29" t="s">
        <v>23</v>
      </c>
      <c r="K486" s="29">
        <v>317.56</v>
      </c>
      <c r="L486" s="28" t="s">
        <v>82</v>
      </c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</row>
    <row r="487" spans="1:24" ht="14.25" customHeight="1">
      <c r="A487" s="28" t="s">
        <v>547</v>
      </c>
      <c r="B487" s="29" t="s">
        <v>20</v>
      </c>
      <c r="C487" s="29" t="s">
        <v>52</v>
      </c>
      <c r="D487" s="29">
        <v>4878</v>
      </c>
      <c r="E487" s="29">
        <v>0.28999999999999998</v>
      </c>
      <c r="F487" s="29">
        <v>5</v>
      </c>
      <c r="G487" s="30">
        <v>45370</v>
      </c>
      <c r="H487" s="30">
        <v>45373</v>
      </c>
      <c r="I487" s="29" t="s">
        <v>16</v>
      </c>
      <c r="J487" s="29" t="s">
        <v>29</v>
      </c>
      <c r="K487" s="29">
        <v>731.64</v>
      </c>
      <c r="L487" s="28" t="s">
        <v>118</v>
      </c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</row>
    <row r="488" spans="1:24" ht="14.25" customHeight="1">
      <c r="A488" s="28" t="s">
        <v>548</v>
      </c>
      <c r="B488" s="29" t="s">
        <v>27</v>
      </c>
      <c r="C488" s="29" t="s">
        <v>47</v>
      </c>
      <c r="D488" s="29">
        <v>3098.38</v>
      </c>
      <c r="E488" s="29">
        <v>0.09</v>
      </c>
      <c r="F488" s="29">
        <v>6</v>
      </c>
      <c r="G488" s="30">
        <v>45580</v>
      </c>
      <c r="H488" s="30">
        <v>45584</v>
      </c>
      <c r="I488" s="29" t="s">
        <v>16</v>
      </c>
      <c r="J488" s="29" t="s">
        <v>23</v>
      </c>
      <c r="K488" s="29">
        <v>344.48</v>
      </c>
      <c r="L488" s="28" t="s">
        <v>30</v>
      </c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</row>
    <row r="489" spans="1:24" ht="14.25" customHeight="1">
      <c r="A489" s="28" t="s">
        <v>549</v>
      </c>
      <c r="B489" s="29" t="s">
        <v>35</v>
      </c>
      <c r="C489" s="29" t="s">
        <v>28</v>
      </c>
      <c r="D489" s="29">
        <v>939.69</v>
      </c>
      <c r="E489" s="29">
        <v>0.06</v>
      </c>
      <c r="F489" s="29">
        <v>8</v>
      </c>
      <c r="G489" s="30">
        <v>45353</v>
      </c>
      <c r="H489" s="30">
        <v>45360</v>
      </c>
      <c r="I489" s="29" t="s">
        <v>42</v>
      </c>
      <c r="J489" s="29" t="s">
        <v>23</v>
      </c>
      <c r="K489" s="29">
        <v>270.99</v>
      </c>
      <c r="L489" s="28" t="s">
        <v>36</v>
      </c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</row>
    <row r="490" spans="1:24" ht="14.25" customHeight="1">
      <c r="A490" s="28" t="s">
        <v>550</v>
      </c>
      <c r="B490" s="29" t="s">
        <v>14</v>
      </c>
      <c r="C490" s="29" t="s">
        <v>28</v>
      </c>
      <c r="D490" s="29">
        <v>4979.32</v>
      </c>
      <c r="E490" s="29">
        <v>0.49</v>
      </c>
      <c r="F490" s="29">
        <v>7</v>
      </c>
      <c r="G490" s="30">
        <v>45056</v>
      </c>
      <c r="H490" s="30">
        <v>45059</v>
      </c>
      <c r="I490" s="29" t="s">
        <v>16</v>
      </c>
      <c r="J490" s="29" t="s">
        <v>23</v>
      </c>
      <c r="K490" s="29">
        <v>1091.53</v>
      </c>
      <c r="L490" s="28" t="s">
        <v>63</v>
      </c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</row>
    <row r="491" spans="1:24" ht="14.25" customHeight="1">
      <c r="A491" s="28" t="s">
        <v>551</v>
      </c>
      <c r="B491" s="29" t="s">
        <v>20</v>
      </c>
      <c r="C491" s="29" t="s">
        <v>28</v>
      </c>
      <c r="D491" s="29">
        <v>2688.79</v>
      </c>
      <c r="E491" s="29">
        <v>0.45</v>
      </c>
      <c r="F491" s="29">
        <v>7</v>
      </c>
      <c r="G491" s="30">
        <v>45222</v>
      </c>
      <c r="H491" s="30">
        <v>45229</v>
      </c>
      <c r="I491" s="29" t="s">
        <v>16</v>
      </c>
      <c r="J491" s="29" t="s">
        <v>29</v>
      </c>
      <c r="K491" s="29">
        <v>264.99</v>
      </c>
      <c r="L491" s="28" t="s">
        <v>25</v>
      </c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</row>
    <row r="492" spans="1:24" ht="14.25" customHeight="1">
      <c r="A492" s="28" t="s">
        <v>552</v>
      </c>
      <c r="B492" s="29" t="s">
        <v>27</v>
      </c>
      <c r="C492" s="29" t="s">
        <v>28</v>
      </c>
      <c r="D492" s="29">
        <v>4216.29</v>
      </c>
      <c r="E492" s="29">
        <v>0.33</v>
      </c>
      <c r="F492" s="29">
        <v>9</v>
      </c>
      <c r="G492" s="30">
        <v>45488</v>
      </c>
      <c r="H492" s="30">
        <v>45492</v>
      </c>
      <c r="I492" s="29" t="s">
        <v>42</v>
      </c>
      <c r="J492" s="29" t="s">
        <v>29</v>
      </c>
      <c r="K492" s="29">
        <v>1058.17</v>
      </c>
      <c r="L492" s="28" t="s">
        <v>36</v>
      </c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</row>
    <row r="493" spans="1:24" ht="14.25" customHeight="1">
      <c r="A493" s="28" t="s">
        <v>553</v>
      </c>
      <c r="B493" s="29" t="s">
        <v>35</v>
      </c>
      <c r="C493" s="29" t="s">
        <v>15</v>
      </c>
      <c r="D493" s="29">
        <v>831.87</v>
      </c>
      <c r="E493" s="29">
        <v>0.43</v>
      </c>
      <c r="F493" s="29">
        <v>3</v>
      </c>
      <c r="G493" s="30">
        <v>45405</v>
      </c>
      <c r="H493" s="30">
        <v>45408</v>
      </c>
      <c r="I493" s="29" t="s">
        <v>22</v>
      </c>
      <c r="J493" s="29" t="s">
        <v>29</v>
      </c>
      <c r="K493" s="29">
        <v>99.89</v>
      </c>
      <c r="L493" s="28" t="s">
        <v>59</v>
      </c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</row>
    <row r="494" spans="1:24" ht="14.25" customHeight="1">
      <c r="A494" s="28" t="s">
        <v>554</v>
      </c>
      <c r="B494" s="29" t="s">
        <v>14</v>
      </c>
      <c r="C494" s="29" t="s">
        <v>52</v>
      </c>
      <c r="D494" s="29">
        <v>3363.87</v>
      </c>
      <c r="E494" s="29">
        <v>0.05</v>
      </c>
      <c r="F494" s="29">
        <v>8</v>
      </c>
      <c r="G494" s="30">
        <v>45501</v>
      </c>
      <c r="H494" s="30">
        <v>45506</v>
      </c>
      <c r="I494" s="29" t="s">
        <v>42</v>
      </c>
      <c r="J494" s="29" t="s">
        <v>29</v>
      </c>
      <c r="K494" s="29">
        <v>840.81</v>
      </c>
      <c r="L494" s="28" t="s">
        <v>63</v>
      </c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</row>
    <row r="495" spans="1:24" ht="14.25" customHeight="1">
      <c r="A495" s="28" t="s">
        <v>555</v>
      </c>
      <c r="B495" s="29" t="s">
        <v>20</v>
      </c>
      <c r="C495" s="29" t="s">
        <v>52</v>
      </c>
      <c r="D495" s="29">
        <v>4571.83</v>
      </c>
      <c r="E495" s="29">
        <v>0.36</v>
      </c>
      <c r="F495" s="29">
        <v>6</v>
      </c>
      <c r="G495" s="30">
        <v>45036</v>
      </c>
      <c r="H495" s="30">
        <v>45039</v>
      </c>
      <c r="I495" s="29" t="s">
        <v>22</v>
      </c>
      <c r="J495" s="29" t="s">
        <v>23</v>
      </c>
      <c r="K495" s="29">
        <v>764.68</v>
      </c>
      <c r="L495" s="28" t="s">
        <v>18</v>
      </c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</row>
    <row r="496" spans="1:24" ht="14.25" customHeight="1">
      <c r="A496" s="28" t="s">
        <v>556</v>
      </c>
      <c r="B496" s="29" t="s">
        <v>27</v>
      </c>
      <c r="C496" s="29" t="s">
        <v>47</v>
      </c>
      <c r="D496" s="29">
        <v>2706.89</v>
      </c>
      <c r="E496" s="29">
        <v>0.14000000000000001</v>
      </c>
      <c r="F496" s="29">
        <v>8</v>
      </c>
      <c r="G496" s="30">
        <v>45246</v>
      </c>
      <c r="H496" s="30">
        <v>45252</v>
      </c>
      <c r="I496" s="29" t="s">
        <v>16</v>
      </c>
      <c r="J496" s="29" t="s">
        <v>29</v>
      </c>
      <c r="K496" s="29">
        <v>460.15</v>
      </c>
      <c r="L496" s="28" t="s">
        <v>24</v>
      </c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</row>
    <row r="497" spans="1:24" ht="14.25" customHeight="1">
      <c r="A497" s="28" t="s">
        <v>557</v>
      </c>
      <c r="B497" s="29" t="s">
        <v>35</v>
      </c>
      <c r="C497" s="29" t="s">
        <v>21</v>
      </c>
      <c r="D497" s="29">
        <v>1514.43</v>
      </c>
      <c r="E497" s="29">
        <v>0.27</v>
      </c>
      <c r="F497" s="29">
        <v>4</v>
      </c>
      <c r="G497" s="30">
        <v>45104</v>
      </c>
      <c r="H497" s="30">
        <v>45106</v>
      </c>
      <c r="I497" s="29" t="s">
        <v>16</v>
      </c>
      <c r="J497" s="29" t="s">
        <v>17</v>
      </c>
      <c r="K497" s="29">
        <v>220.52</v>
      </c>
      <c r="L497" s="28" t="s">
        <v>24</v>
      </c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</row>
    <row r="498" spans="1:24" ht="14.25" customHeight="1">
      <c r="A498" s="28" t="s">
        <v>558</v>
      </c>
      <c r="B498" s="29" t="s">
        <v>14</v>
      </c>
      <c r="C498" s="29" t="s">
        <v>15</v>
      </c>
      <c r="D498" s="29">
        <v>724.37</v>
      </c>
      <c r="E498" s="29">
        <v>0.38</v>
      </c>
      <c r="F498" s="29">
        <v>1</v>
      </c>
      <c r="G498" s="30">
        <v>45320</v>
      </c>
      <c r="H498" s="30">
        <v>45327</v>
      </c>
      <c r="I498" s="29" t="s">
        <v>22</v>
      </c>
      <c r="J498" s="29" t="s">
        <v>17</v>
      </c>
      <c r="K498" s="29">
        <v>80.92</v>
      </c>
      <c r="L498" s="28" t="s">
        <v>113</v>
      </c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</row>
    <row r="499" spans="1:24" ht="14.25" customHeight="1">
      <c r="A499" s="28" t="s">
        <v>559</v>
      </c>
      <c r="B499" s="29" t="s">
        <v>20</v>
      </c>
      <c r="C499" s="29" t="s">
        <v>47</v>
      </c>
      <c r="D499" s="29">
        <v>1550.13</v>
      </c>
      <c r="E499" s="29">
        <v>0.02</v>
      </c>
      <c r="F499" s="29">
        <v>3</v>
      </c>
      <c r="G499" s="30">
        <v>45170</v>
      </c>
      <c r="H499" s="30">
        <v>45172</v>
      </c>
      <c r="I499" s="29" t="s">
        <v>16</v>
      </c>
      <c r="J499" s="29" t="s">
        <v>17</v>
      </c>
      <c r="K499" s="29">
        <v>343.75</v>
      </c>
      <c r="L499" s="28" t="s">
        <v>113</v>
      </c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</row>
    <row r="500" spans="1:24" ht="14.25" customHeight="1">
      <c r="A500" s="28"/>
      <c r="B500" s="29"/>
      <c r="C500" s="29"/>
      <c r="D500" s="28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</row>
    <row r="501" spans="1:24" ht="14.25" customHeight="1">
      <c r="A501" s="28"/>
      <c r="B501" s="29"/>
      <c r="C501" s="29"/>
      <c r="D501" s="28"/>
      <c r="E501" s="28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</row>
    <row r="502" spans="1:24" ht="14.25" customHeight="1">
      <c r="A502" s="28"/>
      <c r="B502" s="29"/>
      <c r="C502" s="29"/>
      <c r="D502" s="28"/>
      <c r="E502" s="28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</row>
    <row r="503" spans="1:24" ht="14.25" customHeight="1">
      <c r="A503" s="28"/>
      <c r="B503" s="29"/>
      <c r="C503" s="29"/>
      <c r="D503" s="28"/>
      <c r="E503" s="28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</row>
    <row r="504" spans="1:24" ht="14.25" customHeight="1">
      <c r="A504" s="28"/>
      <c r="B504" s="29"/>
      <c r="C504" s="29"/>
      <c r="D504" s="28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</row>
    <row r="505" spans="1:24" ht="14.25" customHeight="1">
      <c r="A505" s="28"/>
      <c r="B505" s="29"/>
      <c r="C505" s="29"/>
      <c r="D505" s="28"/>
      <c r="E505" s="28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</row>
    <row r="506" spans="1:24" ht="14.25" customHeight="1">
      <c r="A506" s="28"/>
      <c r="B506" s="29"/>
      <c r="C506" s="29"/>
      <c r="D506" s="28"/>
      <c r="E506" s="28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</row>
    <row r="507" spans="1:24" ht="14.25" customHeight="1">
      <c r="A507" s="28"/>
      <c r="B507" s="29"/>
      <c r="C507" s="29"/>
      <c r="D507" s="28"/>
      <c r="E507" s="28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</row>
    <row r="508" spans="1:24" ht="14.25" customHeight="1">
      <c r="A508" s="28"/>
      <c r="B508" s="28"/>
      <c r="C508" s="28"/>
      <c r="D508" s="28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</row>
    <row r="509" spans="1:24" ht="14.25" customHeight="1">
      <c r="A509" s="28"/>
      <c r="B509" s="28"/>
      <c r="C509" s="28"/>
      <c r="D509" s="28"/>
      <c r="E509" s="28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</row>
    <row r="510" spans="1:24" ht="14.25" customHeight="1">
      <c r="A510" s="28"/>
      <c r="B510" s="28"/>
      <c r="C510" s="28"/>
      <c r="D510" s="28"/>
      <c r="E510" s="28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</row>
    <row r="511" spans="1:24" ht="14.25" customHeight="1">
      <c r="A511" s="28"/>
      <c r="B511" s="28"/>
      <c r="C511" s="28"/>
      <c r="D511" s="28"/>
      <c r="E511" s="28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</row>
    <row r="512" spans="1:24" ht="14.25" customHeight="1">
      <c r="A512" s="28"/>
      <c r="B512" s="28"/>
      <c r="C512" s="28"/>
      <c r="D512" s="28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</row>
    <row r="513" spans="1:24" ht="14.25" customHeight="1">
      <c r="A513" s="28"/>
      <c r="B513" s="28"/>
      <c r="C513" s="28"/>
      <c r="D513" s="28"/>
      <c r="E513" s="28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</row>
    <row r="514" spans="1:24" ht="14.25" customHeight="1">
      <c r="A514" s="28"/>
      <c r="B514" s="28"/>
      <c r="C514" s="28"/>
      <c r="D514" s="28"/>
      <c r="E514" s="28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</row>
    <row r="515" spans="1:24" ht="14.25" customHeight="1">
      <c r="A515" s="28"/>
      <c r="B515" s="28"/>
      <c r="C515" s="28"/>
      <c r="D515" s="28"/>
      <c r="E515" s="28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</row>
    <row r="516" spans="1:24" ht="14.25" customHeight="1">
      <c r="A516" s="28"/>
      <c r="B516" s="28"/>
      <c r="C516" s="28"/>
      <c r="D516" s="28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</row>
    <row r="517" spans="1:24" ht="14.25" customHeight="1">
      <c r="A517" s="28"/>
      <c r="B517" s="28"/>
      <c r="C517" s="28"/>
      <c r="D517" s="28"/>
      <c r="E517" s="28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</row>
    <row r="518" spans="1:24" ht="14.25" customHeight="1">
      <c r="A518" s="28"/>
      <c r="B518" s="28"/>
      <c r="C518" s="28"/>
      <c r="D518" s="28"/>
      <c r="E518" s="28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</row>
    <row r="519" spans="1:24" ht="14.25" customHeight="1">
      <c r="A519" s="28"/>
      <c r="B519" s="28"/>
      <c r="C519" s="28"/>
      <c r="D519" s="28"/>
      <c r="E519" s="28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</row>
    <row r="520" spans="1:24" ht="14.25" customHeight="1">
      <c r="A520" s="28"/>
      <c r="B520" s="28"/>
      <c r="C520" s="28"/>
      <c r="D520" s="28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</row>
    <row r="521" spans="1:24" ht="14.25" customHeight="1">
      <c r="A521" s="28"/>
      <c r="B521" s="28"/>
      <c r="C521" s="28"/>
      <c r="D521" s="28"/>
      <c r="E521" s="28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</row>
    <row r="522" spans="1:24" ht="14.25" customHeight="1">
      <c r="A522" s="28"/>
      <c r="B522" s="28"/>
      <c r="C522" s="28"/>
      <c r="D522" s="28"/>
      <c r="E522" s="28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</row>
    <row r="523" spans="1:24" ht="14.25" customHeight="1">
      <c r="A523" s="28"/>
      <c r="B523" s="28"/>
      <c r="C523" s="28"/>
      <c r="D523" s="28"/>
      <c r="E523" s="28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</row>
    <row r="524" spans="1:24" ht="14.25" customHeight="1">
      <c r="A524" s="28"/>
      <c r="B524" s="28"/>
      <c r="C524" s="28"/>
      <c r="D524" s="28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</row>
    <row r="525" spans="1:24" ht="14.25" customHeight="1">
      <c r="A525" s="28"/>
      <c r="B525" s="28"/>
      <c r="C525" s="28"/>
      <c r="D525" s="28"/>
      <c r="E525" s="28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</row>
    <row r="526" spans="1:24" ht="14.25" customHeight="1">
      <c r="A526" s="28"/>
      <c r="B526" s="28"/>
      <c r="C526" s="28"/>
      <c r="D526" s="28"/>
      <c r="E526" s="28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</row>
    <row r="527" spans="1:24" ht="14.25" customHeight="1">
      <c r="A527" s="28"/>
      <c r="B527" s="28"/>
      <c r="C527" s="28"/>
      <c r="D527" s="28"/>
      <c r="E527" s="28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</row>
    <row r="528" spans="1:24" ht="14.25" customHeight="1">
      <c r="A528" s="28"/>
      <c r="B528" s="28"/>
      <c r="C528" s="28"/>
      <c r="D528" s="28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</row>
    <row r="529" spans="1:24" ht="14.25" customHeight="1">
      <c r="A529" s="28"/>
      <c r="B529" s="28"/>
      <c r="C529" s="28"/>
      <c r="D529" s="28"/>
      <c r="E529" s="28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</row>
    <row r="530" spans="1:24" ht="14.25" customHeight="1">
      <c r="A530" s="28"/>
      <c r="B530" s="28"/>
      <c r="C530" s="28"/>
      <c r="D530" s="28"/>
      <c r="E530" s="28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</row>
    <row r="531" spans="1:24" ht="14.25" customHeight="1">
      <c r="A531" s="28"/>
      <c r="B531" s="28"/>
      <c r="C531" s="28"/>
      <c r="D531" s="28"/>
      <c r="E531" s="28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</row>
    <row r="532" spans="1:24" ht="14.25" customHeight="1">
      <c r="A532" s="28"/>
      <c r="B532" s="28"/>
      <c r="C532" s="28"/>
      <c r="D532" s="28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</row>
    <row r="533" spans="1:24" ht="14.25" customHeight="1">
      <c r="A533" s="28"/>
      <c r="B533" s="28"/>
      <c r="C533" s="28"/>
      <c r="D533" s="28"/>
      <c r="E533" s="28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</row>
    <row r="534" spans="1:24" ht="14.25" customHeight="1">
      <c r="A534" s="28"/>
      <c r="B534" s="28"/>
      <c r="C534" s="28"/>
      <c r="D534" s="28"/>
      <c r="E534" s="28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</row>
    <row r="535" spans="1:24" ht="14.25" customHeight="1">
      <c r="A535" s="28"/>
      <c r="B535" s="28"/>
      <c r="C535" s="28"/>
      <c r="D535" s="28"/>
      <c r="E535" s="28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</row>
    <row r="536" spans="1:24" ht="14.25" customHeight="1">
      <c r="A536" s="28"/>
      <c r="B536" s="28"/>
      <c r="C536" s="28"/>
      <c r="D536" s="28"/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</row>
    <row r="537" spans="1:24" ht="14.25" customHeight="1">
      <c r="A537" s="28"/>
      <c r="B537" s="28"/>
      <c r="C537" s="28"/>
      <c r="D537" s="28"/>
      <c r="E537" s="28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</row>
    <row r="538" spans="1:24" ht="14.25" customHeight="1">
      <c r="A538" s="28"/>
      <c r="B538" s="28"/>
      <c r="C538" s="28"/>
      <c r="D538" s="28"/>
      <c r="E538" s="28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</row>
    <row r="539" spans="1:24" ht="14.25" customHeight="1">
      <c r="A539" s="28"/>
      <c r="B539" s="28"/>
      <c r="C539" s="28"/>
      <c r="D539" s="28"/>
      <c r="E539" s="28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</row>
    <row r="540" spans="1:24" ht="14.25" customHeight="1">
      <c r="A540" s="28"/>
      <c r="B540" s="28"/>
      <c r="C540" s="28"/>
      <c r="D540" s="28"/>
      <c r="E540" s="28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</row>
    <row r="541" spans="1:24" ht="14.25" customHeight="1">
      <c r="A541" s="28"/>
      <c r="B541" s="28"/>
      <c r="C541" s="28"/>
      <c r="D541" s="28"/>
      <c r="E541" s="28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</row>
    <row r="542" spans="1:24" ht="14.25" customHeight="1">
      <c r="A542" s="28"/>
      <c r="B542" s="28"/>
      <c r="C542" s="28"/>
      <c r="D542" s="28"/>
      <c r="E542" s="28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</row>
    <row r="543" spans="1:24" ht="14.25" customHeight="1">
      <c r="A543" s="28"/>
      <c r="B543" s="28"/>
      <c r="C543" s="28"/>
      <c r="D543" s="28"/>
      <c r="E543" s="28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</row>
    <row r="544" spans="1:24" ht="14.25" customHeight="1">
      <c r="A544" s="28"/>
      <c r="B544" s="28"/>
      <c r="C544" s="28"/>
      <c r="D544" s="28"/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</row>
    <row r="545" spans="1:24" ht="14.25" customHeight="1">
      <c r="A545" s="28"/>
      <c r="B545" s="28"/>
      <c r="C545" s="28"/>
      <c r="D545" s="28"/>
      <c r="E545" s="28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</row>
    <row r="546" spans="1:24" ht="14.25" customHeight="1">
      <c r="A546" s="28"/>
      <c r="B546" s="28"/>
      <c r="C546" s="28"/>
      <c r="D546" s="28"/>
      <c r="E546" s="28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</row>
    <row r="547" spans="1:24" ht="14.25" customHeight="1">
      <c r="A547" s="28"/>
      <c r="B547" s="28"/>
      <c r="C547" s="28"/>
      <c r="D547" s="28"/>
      <c r="E547" s="28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</row>
    <row r="548" spans="1:24" ht="14.25" customHeight="1">
      <c r="A548" s="28"/>
      <c r="B548" s="28"/>
      <c r="C548" s="28"/>
      <c r="D548" s="28"/>
      <c r="E548" s="28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</row>
    <row r="549" spans="1:24" ht="14.25" customHeight="1">
      <c r="A549" s="28"/>
      <c r="B549" s="28"/>
      <c r="C549" s="28"/>
      <c r="D549" s="28"/>
      <c r="E549" s="28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</row>
    <row r="550" spans="1:24" ht="14.25" customHeight="1">
      <c r="A550" s="28"/>
      <c r="B550" s="28"/>
      <c r="C550" s="28"/>
      <c r="D550" s="28"/>
      <c r="E550" s="28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</row>
    <row r="551" spans="1:24" ht="14.25" customHeight="1">
      <c r="A551" s="28"/>
      <c r="B551" s="28"/>
      <c r="C551" s="28"/>
      <c r="D551" s="28"/>
      <c r="E551" s="28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</row>
    <row r="552" spans="1:24" ht="14.25" customHeight="1">
      <c r="A552" s="28"/>
      <c r="B552" s="28"/>
      <c r="C552" s="28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</row>
    <row r="553" spans="1:24" ht="14.25" customHeight="1">
      <c r="A553" s="28"/>
      <c r="B553" s="28"/>
      <c r="C553" s="28"/>
      <c r="D553" s="28"/>
      <c r="E553" s="28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</row>
    <row r="554" spans="1:24" ht="14.25" customHeight="1">
      <c r="A554" s="28"/>
      <c r="B554" s="28"/>
      <c r="C554" s="28"/>
      <c r="D554" s="28"/>
      <c r="E554" s="28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</row>
    <row r="555" spans="1:24" ht="14.25" customHeight="1">
      <c r="A555" s="28"/>
      <c r="B555" s="28"/>
      <c r="C555" s="28"/>
      <c r="D555" s="28"/>
      <c r="E555" s="28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</row>
    <row r="556" spans="1:24" ht="14.25" customHeight="1">
      <c r="A556" s="28"/>
      <c r="B556" s="28"/>
      <c r="C556" s="28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</row>
    <row r="557" spans="1:24" ht="14.25" customHeight="1">
      <c r="A557" s="28"/>
      <c r="B557" s="28"/>
      <c r="C557" s="28"/>
      <c r="D557" s="28"/>
      <c r="E557" s="28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</row>
    <row r="558" spans="1:24" ht="14.25" customHeight="1">
      <c r="A558" s="28"/>
      <c r="B558" s="28"/>
      <c r="C558" s="28"/>
      <c r="D558" s="28"/>
      <c r="E558" s="28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</row>
    <row r="559" spans="1:24" ht="14.25" customHeight="1">
      <c r="A559" s="28"/>
      <c r="B559" s="28"/>
      <c r="C559" s="28"/>
      <c r="D559" s="28"/>
      <c r="E559" s="28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</row>
    <row r="560" spans="1:24" ht="14.25" customHeight="1">
      <c r="A560" s="28"/>
      <c r="B560" s="28"/>
      <c r="C560" s="28"/>
      <c r="D560" s="28"/>
      <c r="E560" s="28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</row>
    <row r="561" spans="1:24" ht="14.25" customHeight="1">
      <c r="A561" s="28"/>
      <c r="B561" s="28"/>
      <c r="C561" s="28"/>
      <c r="D561" s="28"/>
      <c r="E561" s="28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</row>
    <row r="562" spans="1:24" ht="14.25" customHeight="1">
      <c r="A562" s="28"/>
      <c r="B562" s="28"/>
      <c r="C562" s="28"/>
      <c r="D562" s="28"/>
      <c r="E562" s="28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</row>
    <row r="563" spans="1:24" ht="14.25" customHeight="1">
      <c r="A563" s="28"/>
      <c r="B563" s="28"/>
      <c r="C563" s="28"/>
      <c r="D563" s="28"/>
      <c r="E563" s="28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</row>
    <row r="564" spans="1:24" ht="14.25" customHeight="1">
      <c r="A564" s="28"/>
      <c r="B564" s="28"/>
      <c r="C564" s="28"/>
      <c r="D564" s="28"/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</row>
    <row r="565" spans="1:24" ht="14.25" customHeight="1">
      <c r="A565" s="28"/>
      <c r="B565" s="28"/>
      <c r="C565" s="28"/>
      <c r="D565" s="28"/>
      <c r="E565" s="28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</row>
    <row r="566" spans="1:24" ht="14.25" customHeight="1">
      <c r="A566" s="28"/>
      <c r="B566" s="28"/>
      <c r="C566" s="28"/>
      <c r="D566" s="28"/>
      <c r="E566" s="28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</row>
    <row r="567" spans="1:24" ht="14.25" customHeight="1">
      <c r="A567" s="28"/>
      <c r="B567" s="28"/>
      <c r="C567" s="28"/>
      <c r="D567" s="28"/>
      <c r="E567" s="28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</row>
    <row r="568" spans="1:24" ht="14.25" customHeight="1">
      <c r="A568" s="28"/>
      <c r="B568" s="28"/>
      <c r="C568" s="28"/>
      <c r="D568" s="28"/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</row>
    <row r="569" spans="1:24" ht="14.25" customHeight="1">
      <c r="A569" s="28"/>
      <c r="B569" s="28"/>
      <c r="C569" s="28"/>
      <c r="D569" s="28"/>
      <c r="E569" s="28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</row>
    <row r="570" spans="1:24" ht="14.25" customHeight="1">
      <c r="A570" s="28"/>
      <c r="B570" s="28"/>
      <c r="C570" s="28"/>
      <c r="D570" s="28"/>
      <c r="E570" s="28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</row>
    <row r="571" spans="1:24" ht="14.25" customHeight="1">
      <c r="A571" s="28"/>
      <c r="B571" s="28"/>
      <c r="C571" s="28"/>
      <c r="D571" s="28"/>
      <c r="E571" s="28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</row>
    <row r="572" spans="1:24" ht="14.25" customHeight="1">
      <c r="A572" s="28"/>
      <c r="B572" s="28"/>
      <c r="C572" s="28"/>
      <c r="D572" s="28"/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</row>
    <row r="573" spans="1:24" ht="14.25" customHeight="1">
      <c r="A573" s="28"/>
      <c r="B573" s="28"/>
      <c r="C573" s="28"/>
      <c r="D573" s="28"/>
      <c r="E573" s="28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</row>
    <row r="574" spans="1:24" ht="14.25" customHeight="1">
      <c r="A574" s="28"/>
      <c r="B574" s="28"/>
      <c r="C574" s="28"/>
      <c r="D574" s="28"/>
      <c r="E574" s="28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</row>
    <row r="575" spans="1:24" ht="14.25" customHeight="1">
      <c r="A575" s="28"/>
      <c r="B575" s="28"/>
      <c r="C575" s="28"/>
      <c r="D575" s="28"/>
      <c r="E575" s="28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</row>
    <row r="576" spans="1:24" ht="14.25" customHeight="1">
      <c r="A576" s="28"/>
      <c r="B576" s="28"/>
      <c r="C576" s="28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</row>
    <row r="577" spans="1:24" ht="14.25" customHeight="1">
      <c r="A577" s="28"/>
      <c r="B577" s="28"/>
      <c r="C577" s="28"/>
      <c r="D577" s="28"/>
      <c r="E577" s="28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</row>
    <row r="578" spans="1:24" ht="14.25" customHeight="1">
      <c r="A578" s="28"/>
      <c r="B578" s="28"/>
      <c r="C578" s="28"/>
      <c r="D578" s="28"/>
      <c r="E578" s="28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</row>
    <row r="579" spans="1:24" ht="14.25" customHeight="1">
      <c r="A579" s="28"/>
      <c r="B579" s="28"/>
      <c r="C579" s="28"/>
      <c r="D579" s="28"/>
      <c r="E579" s="28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</row>
    <row r="580" spans="1:24" ht="14.25" customHeight="1">
      <c r="A580" s="28"/>
      <c r="B580" s="28"/>
      <c r="C580" s="28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</row>
    <row r="581" spans="1:24" ht="14.25" customHeight="1">
      <c r="A581" s="28"/>
      <c r="B581" s="28"/>
      <c r="C581" s="28"/>
      <c r="D581" s="28"/>
      <c r="E581" s="28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</row>
    <row r="582" spans="1:24" ht="14.25" customHeight="1">
      <c r="A582" s="28"/>
      <c r="B582" s="28"/>
      <c r="C582" s="28"/>
      <c r="D582" s="28"/>
      <c r="E582" s="28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</row>
    <row r="583" spans="1:24" ht="14.25" customHeight="1">
      <c r="A583" s="28"/>
      <c r="B583" s="28"/>
      <c r="C583" s="28"/>
      <c r="D583" s="28"/>
      <c r="E583" s="28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</row>
    <row r="584" spans="1:24" ht="14.25" customHeight="1">
      <c r="A584" s="28"/>
      <c r="B584" s="28"/>
      <c r="C584" s="28"/>
      <c r="D584" s="28"/>
      <c r="E584" s="28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</row>
    <row r="585" spans="1:24" ht="14.25" customHeight="1">
      <c r="A585" s="28"/>
      <c r="B585" s="28"/>
      <c r="C585" s="28"/>
      <c r="D585" s="28"/>
      <c r="E585" s="28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</row>
    <row r="586" spans="1:24" ht="14.25" customHeight="1">
      <c r="A586" s="28"/>
      <c r="B586" s="28"/>
      <c r="C586" s="28"/>
      <c r="D586" s="28"/>
      <c r="E586" s="28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</row>
    <row r="587" spans="1:24" ht="14.25" customHeight="1">
      <c r="A587" s="28"/>
      <c r="B587" s="28"/>
      <c r="C587" s="28"/>
      <c r="D587" s="28"/>
      <c r="E587" s="28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</row>
    <row r="588" spans="1:24" ht="14.25" customHeight="1">
      <c r="A588" s="28"/>
      <c r="B588" s="28"/>
      <c r="C588" s="28"/>
      <c r="D588" s="28"/>
      <c r="E588" s="28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</row>
    <row r="589" spans="1:24" ht="14.25" customHeight="1">
      <c r="A589" s="28"/>
      <c r="B589" s="28"/>
      <c r="C589" s="28"/>
      <c r="D589" s="28"/>
      <c r="E589" s="28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</row>
    <row r="590" spans="1:24" ht="14.25" customHeight="1">
      <c r="A590" s="28"/>
      <c r="B590" s="28"/>
      <c r="C590" s="28"/>
      <c r="D590" s="28"/>
      <c r="E590" s="28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</row>
    <row r="591" spans="1:24" ht="14.25" customHeight="1">
      <c r="A591" s="28"/>
      <c r="B591" s="28"/>
      <c r="C591" s="28"/>
      <c r="D591" s="28"/>
      <c r="E591" s="28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</row>
    <row r="592" spans="1:24" ht="14.25" customHeight="1">
      <c r="A592" s="28"/>
      <c r="B592" s="28"/>
      <c r="C592" s="28"/>
      <c r="D592" s="28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</row>
    <row r="593" spans="1:24" ht="14.25" customHeight="1">
      <c r="A593" s="28"/>
      <c r="B593" s="28"/>
      <c r="C593" s="28"/>
      <c r="D593" s="28"/>
      <c r="E593" s="28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</row>
    <row r="594" spans="1:24" ht="14.25" customHeight="1">
      <c r="A594" s="28"/>
      <c r="B594" s="28"/>
      <c r="C594" s="28"/>
      <c r="D594" s="28"/>
      <c r="E594" s="28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</row>
    <row r="595" spans="1:24" ht="14.25" customHeight="1">
      <c r="A595" s="28"/>
      <c r="B595" s="28"/>
      <c r="C595" s="28"/>
      <c r="D595" s="28"/>
      <c r="E595" s="28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</row>
    <row r="596" spans="1:24" ht="14.25" customHeight="1">
      <c r="A596" s="28"/>
      <c r="B596" s="28"/>
      <c r="C596" s="28"/>
      <c r="D596" s="28"/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</row>
    <row r="597" spans="1:24" ht="14.25" customHeight="1">
      <c r="A597" s="28"/>
      <c r="B597" s="28"/>
      <c r="C597" s="28"/>
      <c r="D597" s="28"/>
      <c r="E597" s="28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</row>
    <row r="598" spans="1:24" ht="14.25" customHeight="1">
      <c r="A598" s="28"/>
      <c r="B598" s="28"/>
      <c r="C598" s="28"/>
      <c r="D598" s="28"/>
      <c r="E598" s="28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</row>
    <row r="599" spans="1:24" ht="14.25" customHeight="1">
      <c r="A599" s="28"/>
      <c r="B599" s="28"/>
      <c r="C599" s="28"/>
      <c r="D599" s="28"/>
      <c r="E599" s="28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</row>
    <row r="600" spans="1:24" ht="14.25" customHeight="1">
      <c r="A600" s="28"/>
      <c r="B600" s="28"/>
      <c r="C600" s="28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</row>
    <row r="601" spans="1:24" ht="14.25" customHeight="1">
      <c r="A601" s="28"/>
      <c r="B601" s="28"/>
      <c r="C601" s="28"/>
      <c r="D601" s="28"/>
      <c r="E601" s="28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</row>
    <row r="602" spans="1:24" ht="14.25" customHeight="1">
      <c r="A602" s="28"/>
      <c r="B602" s="28"/>
      <c r="C602" s="28"/>
      <c r="D602" s="28"/>
      <c r="E602" s="28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</row>
    <row r="603" spans="1:24" ht="14.25" customHeight="1">
      <c r="A603" s="28"/>
      <c r="B603" s="28"/>
      <c r="C603" s="28"/>
      <c r="D603" s="28"/>
      <c r="E603" s="28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</row>
    <row r="604" spans="1:24" ht="14.25" customHeight="1">
      <c r="A604" s="28"/>
      <c r="B604" s="28"/>
      <c r="C604" s="28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</row>
    <row r="605" spans="1:24" ht="14.25" customHeight="1">
      <c r="A605" s="28"/>
      <c r="B605" s="28"/>
      <c r="C605" s="28"/>
      <c r="D605" s="28"/>
      <c r="E605" s="28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</row>
    <row r="606" spans="1:24" ht="14.25" customHeight="1">
      <c r="A606" s="28"/>
      <c r="B606" s="28"/>
      <c r="C606" s="28"/>
      <c r="D606" s="28"/>
      <c r="E606" s="28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</row>
    <row r="607" spans="1:24" ht="14.25" customHeight="1">
      <c r="A607" s="28"/>
      <c r="B607" s="28"/>
      <c r="C607" s="28"/>
      <c r="D607" s="28"/>
      <c r="E607" s="28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</row>
    <row r="608" spans="1:24" ht="14.25" customHeight="1">
      <c r="A608" s="28"/>
      <c r="B608" s="28"/>
      <c r="C608" s="28"/>
      <c r="D608" s="28"/>
      <c r="E608" s="28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</row>
    <row r="609" spans="1:24" ht="14.25" customHeight="1">
      <c r="A609" s="28"/>
      <c r="B609" s="28"/>
      <c r="C609" s="28"/>
      <c r="D609" s="28"/>
      <c r="E609" s="28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</row>
    <row r="610" spans="1:24" ht="14.25" customHeight="1">
      <c r="A610" s="28"/>
      <c r="B610" s="28"/>
      <c r="C610" s="28"/>
      <c r="D610" s="28"/>
      <c r="E610" s="28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</row>
    <row r="611" spans="1:24" ht="14.25" customHeight="1">
      <c r="A611" s="28"/>
      <c r="B611" s="28"/>
      <c r="C611" s="28"/>
      <c r="D611" s="28"/>
      <c r="E611" s="28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</row>
    <row r="612" spans="1:24" ht="14.25" customHeight="1">
      <c r="A612" s="28"/>
      <c r="B612" s="28"/>
      <c r="C612" s="28"/>
      <c r="D612" s="28"/>
      <c r="E612" s="28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</row>
    <row r="613" spans="1:24" ht="14.25" customHeight="1">
      <c r="A613" s="28"/>
      <c r="B613" s="28"/>
      <c r="C613" s="28"/>
      <c r="D613" s="28"/>
      <c r="E613" s="28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</row>
    <row r="614" spans="1:24" ht="14.25" customHeight="1">
      <c r="A614" s="28"/>
      <c r="B614" s="28"/>
      <c r="C614" s="28"/>
      <c r="D614" s="28"/>
      <c r="E614" s="28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</row>
    <row r="615" spans="1:24" ht="14.25" customHeight="1">
      <c r="A615" s="28"/>
      <c r="B615" s="28"/>
      <c r="C615" s="28"/>
      <c r="D615" s="28"/>
      <c r="E615" s="28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</row>
    <row r="616" spans="1:24" ht="14.25" customHeight="1">
      <c r="A616" s="28"/>
      <c r="B616" s="28"/>
      <c r="C616" s="28"/>
      <c r="D616" s="28"/>
      <c r="E616" s="28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</row>
    <row r="617" spans="1:24" ht="14.25" customHeight="1">
      <c r="A617" s="28"/>
      <c r="B617" s="28"/>
      <c r="C617" s="28"/>
      <c r="D617" s="28"/>
      <c r="E617" s="28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</row>
    <row r="618" spans="1:24" ht="14.25" customHeight="1">
      <c r="A618" s="28"/>
      <c r="B618" s="28"/>
      <c r="C618" s="28"/>
      <c r="D618" s="28"/>
      <c r="E618" s="28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</row>
    <row r="619" spans="1:24" ht="14.25" customHeight="1">
      <c r="A619" s="28"/>
      <c r="B619" s="28"/>
      <c r="C619" s="28"/>
      <c r="D619" s="28"/>
      <c r="E619" s="28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</row>
    <row r="620" spans="1:24" ht="14.25" customHeight="1">
      <c r="A620" s="28"/>
      <c r="B620" s="28"/>
      <c r="C620" s="28"/>
      <c r="D620" s="28"/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</row>
    <row r="621" spans="1:24" ht="14.25" customHeight="1">
      <c r="A621" s="28"/>
      <c r="B621" s="28"/>
      <c r="C621" s="28"/>
      <c r="D621" s="28"/>
      <c r="E621" s="28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</row>
    <row r="622" spans="1:24" ht="14.25" customHeight="1">
      <c r="A622" s="28"/>
      <c r="B622" s="28"/>
      <c r="C622" s="28"/>
      <c r="D622" s="28"/>
      <c r="E622" s="28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</row>
    <row r="623" spans="1:24" ht="14.25" customHeight="1">
      <c r="A623" s="28"/>
      <c r="B623" s="28"/>
      <c r="C623" s="28"/>
      <c r="D623" s="28"/>
      <c r="E623" s="28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</row>
    <row r="624" spans="1:24" ht="14.25" customHeight="1">
      <c r="A624" s="28"/>
      <c r="B624" s="28"/>
      <c r="C624" s="28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</row>
    <row r="625" spans="1:24" ht="14.25" customHeight="1">
      <c r="A625" s="28"/>
      <c r="B625" s="28"/>
      <c r="C625" s="28"/>
      <c r="D625" s="28"/>
      <c r="E625" s="28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</row>
    <row r="626" spans="1:24" ht="14.25" customHeight="1">
      <c r="A626" s="28"/>
      <c r="B626" s="28"/>
      <c r="C626" s="28"/>
      <c r="D626" s="28"/>
      <c r="E626" s="28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</row>
    <row r="627" spans="1:24" ht="14.25" customHeight="1">
      <c r="A627" s="28"/>
      <c r="B627" s="28"/>
      <c r="C627" s="28"/>
      <c r="D627" s="28"/>
      <c r="E627" s="28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</row>
    <row r="628" spans="1:24" ht="14.25" customHeight="1">
      <c r="A628" s="28"/>
      <c r="B628" s="28"/>
      <c r="C628" s="28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</row>
    <row r="629" spans="1:24" ht="14.25" customHeight="1">
      <c r="A629" s="28"/>
      <c r="B629" s="28"/>
      <c r="C629" s="28"/>
      <c r="D629" s="28"/>
      <c r="E629" s="28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</row>
    <row r="630" spans="1:24" ht="14.25" customHeight="1">
      <c r="A630" s="28"/>
      <c r="B630" s="28"/>
      <c r="C630" s="28"/>
      <c r="D630" s="28"/>
      <c r="E630" s="28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</row>
    <row r="631" spans="1:24" ht="14.25" customHeight="1">
      <c r="A631" s="28"/>
      <c r="B631" s="28"/>
      <c r="C631" s="28"/>
      <c r="D631" s="28"/>
      <c r="E631" s="28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</row>
    <row r="632" spans="1:24" ht="14.25" customHeight="1">
      <c r="A632" s="28"/>
      <c r="B632" s="28"/>
      <c r="C632" s="28"/>
      <c r="D632" s="28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</row>
    <row r="633" spans="1:24" ht="14.25" customHeight="1">
      <c r="A633" s="28"/>
      <c r="B633" s="28"/>
      <c r="C633" s="28"/>
      <c r="D633" s="28"/>
      <c r="E633" s="28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</row>
    <row r="634" spans="1:24" ht="14.25" customHeight="1">
      <c r="A634" s="28"/>
      <c r="B634" s="28"/>
      <c r="C634" s="28"/>
      <c r="D634" s="28"/>
      <c r="E634" s="28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</row>
    <row r="635" spans="1:24" ht="14.25" customHeight="1">
      <c r="A635" s="28"/>
      <c r="B635" s="28"/>
      <c r="C635" s="28"/>
      <c r="D635" s="28"/>
      <c r="E635" s="28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</row>
    <row r="636" spans="1:24" ht="14.25" customHeight="1">
      <c r="A636" s="28"/>
      <c r="B636" s="28"/>
      <c r="C636" s="28"/>
      <c r="D636" s="28"/>
      <c r="E636" s="28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</row>
    <row r="637" spans="1:24" ht="14.25" customHeight="1">
      <c r="A637" s="28"/>
      <c r="B637" s="28"/>
      <c r="C637" s="28"/>
      <c r="D637" s="28"/>
      <c r="E637" s="28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</row>
    <row r="638" spans="1:24" ht="14.25" customHeight="1">
      <c r="A638" s="28"/>
      <c r="B638" s="28"/>
      <c r="C638" s="28"/>
      <c r="D638" s="28"/>
      <c r="E638" s="28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</row>
    <row r="639" spans="1:24" ht="14.25" customHeight="1">
      <c r="A639" s="28"/>
      <c r="B639" s="28"/>
      <c r="C639" s="28"/>
      <c r="D639" s="28"/>
      <c r="E639" s="28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</row>
    <row r="640" spans="1:24" ht="14.25" customHeight="1">
      <c r="A640" s="28"/>
      <c r="B640" s="28"/>
      <c r="C640" s="28"/>
      <c r="D640" s="28"/>
      <c r="E640" s="28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</row>
    <row r="641" spans="1:24" ht="14.25" customHeight="1">
      <c r="A641" s="28"/>
      <c r="B641" s="28"/>
      <c r="C641" s="28"/>
      <c r="D641" s="28"/>
      <c r="E641" s="28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</row>
    <row r="642" spans="1:24" ht="14.25" customHeight="1">
      <c r="A642" s="28"/>
      <c r="B642" s="28"/>
      <c r="C642" s="28"/>
      <c r="D642" s="28"/>
      <c r="E642" s="28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</row>
    <row r="643" spans="1:24" ht="14.25" customHeight="1">
      <c r="A643" s="28"/>
      <c r="B643" s="28"/>
      <c r="C643" s="28"/>
      <c r="D643" s="28"/>
      <c r="E643" s="28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</row>
    <row r="644" spans="1:24" ht="14.25" customHeight="1">
      <c r="A644" s="28"/>
      <c r="B644" s="28"/>
      <c r="C644" s="28"/>
      <c r="D644" s="28"/>
      <c r="E644" s="28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</row>
    <row r="645" spans="1:24" ht="14.25" customHeight="1">
      <c r="A645" s="28"/>
      <c r="B645" s="28"/>
      <c r="C645" s="28"/>
      <c r="D645" s="28"/>
      <c r="E645" s="28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</row>
    <row r="646" spans="1:24" ht="14.25" customHeight="1">
      <c r="A646" s="28"/>
      <c r="B646" s="28"/>
      <c r="C646" s="28"/>
      <c r="D646" s="28"/>
      <c r="E646" s="28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</row>
    <row r="647" spans="1:24" ht="14.25" customHeight="1">
      <c r="A647" s="28"/>
      <c r="B647" s="28"/>
      <c r="C647" s="28"/>
      <c r="D647" s="28"/>
      <c r="E647" s="28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</row>
    <row r="648" spans="1:24" ht="14.25" customHeight="1">
      <c r="A648" s="28"/>
      <c r="B648" s="28"/>
      <c r="C648" s="28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</row>
    <row r="649" spans="1:24" ht="14.25" customHeight="1">
      <c r="A649" s="28"/>
      <c r="B649" s="28"/>
      <c r="C649" s="28"/>
      <c r="D649" s="28"/>
      <c r="E649" s="28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</row>
    <row r="650" spans="1:24" ht="14.25" customHeight="1">
      <c r="A650" s="28"/>
      <c r="B650" s="28"/>
      <c r="C650" s="28"/>
      <c r="D650" s="28"/>
      <c r="E650" s="28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</row>
    <row r="651" spans="1:24" ht="14.25" customHeight="1">
      <c r="A651" s="28"/>
      <c r="B651" s="28"/>
      <c r="C651" s="28"/>
      <c r="D651" s="28"/>
      <c r="E651" s="28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</row>
    <row r="652" spans="1:24" ht="14.25" customHeight="1">
      <c r="A652" s="28"/>
      <c r="B652" s="28"/>
      <c r="C652" s="28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</row>
    <row r="653" spans="1:24" ht="14.25" customHeight="1">
      <c r="A653" s="28"/>
      <c r="B653" s="28"/>
      <c r="C653" s="28"/>
      <c r="D653" s="28"/>
      <c r="E653" s="28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</row>
    <row r="654" spans="1:24" ht="14.25" customHeight="1">
      <c r="A654" s="28"/>
      <c r="B654" s="28"/>
      <c r="C654" s="28"/>
      <c r="D654" s="28"/>
      <c r="E654" s="28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</row>
    <row r="655" spans="1:24" ht="14.25" customHeight="1">
      <c r="A655" s="28"/>
      <c r="B655" s="28"/>
      <c r="C655" s="28"/>
      <c r="D655" s="28"/>
      <c r="E655" s="28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</row>
    <row r="656" spans="1:24" ht="14.25" customHeight="1">
      <c r="A656" s="28"/>
      <c r="B656" s="28"/>
      <c r="C656" s="28"/>
      <c r="D656" s="28"/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</row>
    <row r="657" spans="1:24" ht="14.25" customHeight="1">
      <c r="A657" s="28"/>
      <c r="B657" s="28"/>
      <c r="C657" s="28"/>
      <c r="D657" s="28"/>
      <c r="E657" s="28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</row>
    <row r="658" spans="1:24" ht="14.25" customHeight="1">
      <c r="A658" s="28"/>
      <c r="B658" s="28"/>
      <c r="C658" s="28"/>
      <c r="D658" s="28"/>
      <c r="E658" s="28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</row>
    <row r="659" spans="1:24" ht="14.25" customHeight="1">
      <c r="A659" s="28"/>
      <c r="B659" s="28"/>
      <c r="C659" s="28"/>
      <c r="D659" s="28"/>
      <c r="E659" s="28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</row>
    <row r="660" spans="1:24" ht="14.25" customHeight="1">
      <c r="A660" s="28"/>
      <c r="B660" s="28"/>
      <c r="C660" s="28"/>
      <c r="D660" s="28"/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</row>
    <row r="661" spans="1:24" ht="14.25" customHeight="1">
      <c r="A661" s="28"/>
      <c r="B661" s="28"/>
      <c r="C661" s="28"/>
      <c r="D661" s="28"/>
      <c r="E661" s="28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</row>
    <row r="662" spans="1:24" ht="14.25" customHeight="1">
      <c r="A662" s="28"/>
      <c r="B662" s="28"/>
      <c r="C662" s="28"/>
      <c r="D662" s="28"/>
      <c r="E662" s="28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</row>
    <row r="663" spans="1:24" ht="14.25" customHeight="1">
      <c r="A663" s="28"/>
      <c r="B663" s="28"/>
      <c r="C663" s="28"/>
      <c r="D663" s="28"/>
      <c r="E663" s="28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</row>
    <row r="664" spans="1:24" ht="14.25" customHeight="1">
      <c r="A664" s="28"/>
      <c r="B664" s="28"/>
      <c r="C664" s="28"/>
      <c r="D664" s="28"/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</row>
    <row r="665" spans="1:24" ht="14.25" customHeight="1">
      <c r="A665" s="28"/>
      <c r="B665" s="28"/>
      <c r="C665" s="28"/>
      <c r="D665" s="28"/>
      <c r="E665" s="28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</row>
    <row r="666" spans="1:24" ht="14.25" customHeight="1">
      <c r="A666" s="28"/>
      <c r="B666" s="28"/>
      <c r="C666" s="28"/>
      <c r="D666" s="28"/>
      <c r="E666" s="28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</row>
    <row r="667" spans="1:24" ht="14.25" customHeight="1">
      <c r="A667" s="28"/>
      <c r="B667" s="28"/>
      <c r="C667" s="28"/>
      <c r="D667" s="28"/>
      <c r="E667" s="28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</row>
    <row r="668" spans="1:24" ht="14.25" customHeight="1">
      <c r="A668" s="28"/>
      <c r="B668" s="28"/>
      <c r="C668" s="28"/>
      <c r="D668" s="28"/>
      <c r="E668" s="28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</row>
    <row r="669" spans="1:24" ht="14.25" customHeight="1">
      <c r="A669" s="28"/>
      <c r="B669" s="28"/>
      <c r="C669" s="28"/>
      <c r="D669" s="28"/>
      <c r="E669" s="28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</row>
    <row r="670" spans="1:24" ht="14.25" customHeight="1">
      <c r="A670" s="28"/>
      <c r="B670" s="28"/>
      <c r="C670" s="28"/>
      <c r="D670" s="28"/>
      <c r="E670" s="28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</row>
    <row r="671" spans="1:24" ht="14.25" customHeight="1">
      <c r="A671" s="28"/>
      <c r="B671" s="28"/>
      <c r="C671" s="28"/>
      <c r="D671" s="28"/>
      <c r="E671" s="28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</row>
    <row r="672" spans="1:24" ht="14.25" customHeight="1">
      <c r="A672" s="28"/>
      <c r="B672" s="28"/>
      <c r="C672" s="28"/>
      <c r="D672" s="28"/>
      <c r="E672" s="28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</row>
    <row r="673" spans="1:24" ht="14.25" customHeight="1">
      <c r="A673" s="28"/>
      <c r="B673" s="28"/>
      <c r="C673" s="28"/>
      <c r="D673" s="28"/>
      <c r="E673" s="28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</row>
    <row r="674" spans="1:24" ht="14.25" customHeight="1">
      <c r="A674" s="28"/>
      <c r="B674" s="28"/>
      <c r="C674" s="28"/>
      <c r="D674" s="28"/>
      <c r="E674" s="28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</row>
    <row r="675" spans="1:24" ht="14.25" customHeight="1">
      <c r="A675" s="28"/>
      <c r="B675" s="28"/>
      <c r="C675" s="28"/>
      <c r="D675" s="28"/>
      <c r="E675" s="28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</row>
    <row r="676" spans="1:24" ht="14.25" customHeight="1">
      <c r="A676" s="28"/>
      <c r="B676" s="28"/>
      <c r="C676" s="28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</row>
    <row r="677" spans="1:24" ht="14.25" customHeight="1">
      <c r="A677" s="28"/>
      <c r="B677" s="28"/>
      <c r="C677" s="28"/>
      <c r="D677" s="28"/>
      <c r="E677" s="28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</row>
    <row r="678" spans="1:24" ht="14.25" customHeight="1">
      <c r="A678" s="28"/>
      <c r="B678" s="28"/>
      <c r="C678" s="28"/>
      <c r="D678" s="28"/>
      <c r="E678" s="28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</row>
    <row r="679" spans="1:24" ht="14.25" customHeight="1">
      <c r="A679" s="28"/>
      <c r="B679" s="28"/>
      <c r="C679" s="28"/>
      <c r="D679" s="28"/>
      <c r="E679" s="28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</row>
    <row r="680" spans="1:24" ht="14.25" customHeight="1">
      <c r="A680" s="28"/>
      <c r="B680" s="28"/>
      <c r="C680" s="28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</row>
    <row r="681" spans="1:24" ht="14.25" customHeight="1">
      <c r="A681" s="28"/>
      <c r="B681" s="28"/>
      <c r="C681" s="28"/>
      <c r="D681" s="28"/>
      <c r="E681" s="28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</row>
    <row r="682" spans="1:24" ht="14.25" customHeight="1">
      <c r="A682" s="28"/>
      <c r="B682" s="28"/>
      <c r="C682" s="28"/>
      <c r="D682" s="28"/>
      <c r="E682" s="28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</row>
    <row r="683" spans="1:24" ht="14.25" customHeight="1">
      <c r="A683" s="28"/>
      <c r="B683" s="28"/>
      <c r="C683" s="28"/>
      <c r="D683" s="28"/>
      <c r="E683" s="28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</row>
    <row r="684" spans="1:24" ht="14.25" customHeight="1">
      <c r="A684" s="28"/>
      <c r="B684" s="28"/>
      <c r="C684" s="28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</row>
    <row r="685" spans="1:24" ht="14.25" customHeight="1">
      <c r="A685" s="28"/>
      <c r="B685" s="28"/>
      <c r="C685" s="28"/>
      <c r="D685" s="28"/>
      <c r="E685" s="28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</row>
    <row r="686" spans="1:24" ht="14.25" customHeight="1">
      <c r="A686" s="28"/>
      <c r="B686" s="28"/>
      <c r="C686" s="28"/>
      <c r="D686" s="28"/>
      <c r="E686" s="28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</row>
    <row r="687" spans="1:24" ht="14.25" customHeight="1">
      <c r="A687" s="28"/>
      <c r="B687" s="28"/>
      <c r="C687" s="28"/>
      <c r="D687" s="28"/>
      <c r="E687" s="28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</row>
    <row r="688" spans="1:24" ht="14.25" customHeight="1">
      <c r="A688" s="28"/>
      <c r="B688" s="28"/>
      <c r="C688" s="28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</row>
    <row r="689" spans="1:24" ht="14.25" customHeight="1">
      <c r="A689" s="28"/>
      <c r="B689" s="28"/>
      <c r="C689" s="28"/>
      <c r="D689" s="28"/>
      <c r="E689" s="28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</row>
    <row r="690" spans="1:24" ht="14.25" customHeight="1">
      <c r="A690" s="28"/>
      <c r="B690" s="28"/>
      <c r="C690" s="28"/>
      <c r="D690" s="28"/>
      <c r="E690" s="28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</row>
    <row r="691" spans="1:24" ht="14.25" customHeight="1">
      <c r="A691" s="28"/>
      <c r="B691" s="28"/>
      <c r="C691" s="28"/>
      <c r="D691" s="28"/>
      <c r="E691" s="28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</row>
    <row r="692" spans="1:24" ht="14.25" customHeight="1">
      <c r="A692" s="28"/>
      <c r="B692" s="28"/>
      <c r="C692" s="28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</row>
    <row r="693" spans="1:24" ht="14.25" customHeight="1">
      <c r="A693" s="28"/>
      <c r="B693" s="28"/>
      <c r="C693" s="28"/>
      <c r="D693" s="28"/>
      <c r="E693" s="28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</row>
    <row r="694" spans="1:24" ht="14.25" customHeight="1">
      <c r="A694" s="28"/>
      <c r="B694" s="28"/>
      <c r="C694" s="28"/>
      <c r="D694" s="28"/>
      <c r="E694" s="28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</row>
    <row r="695" spans="1:24" ht="14.25" customHeight="1">
      <c r="A695" s="28"/>
      <c r="B695" s="28"/>
      <c r="C695" s="28"/>
      <c r="D695" s="28"/>
      <c r="E695" s="28"/>
      <c r="F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</row>
    <row r="696" spans="1:24" ht="14.25" customHeight="1">
      <c r="A696" s="28"/>
      <c r="B696" s="28"/>
      <c r="C696" s="28"/>
      <c r="D696" s="28"/>
      <c r="E696" s="28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</row>
    <row r="697" spans="1:24" ht="14.25" customHeight="1">
      <c r="A697" s="28"/>
      <c r="B697" s="28"/>
      <c r="C697" s="28"/>
      <c r="D697" s="28"/>
      <c r="E697" s="28"/>
      <c r="F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</row>
    <row r="698" spans="1:24" ht="14.25" customHeight="1">
      <c r="A698" s="28"/>
      <c r="B698" s="28"/>
      <c r="C698" s="28"/>
      <c r="D698" s="28"/>
      <c r="E698" s="28"/>
      <c r="F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</row>
    <row r="699" spans="1:24" ht="14.25" customHeight="1">
      <c r="A699" s="28"/>
      <c r="B699" s="28"/>
      <c r="C699" s="28"/>
      <c r="D699" s="28"/>
      <c r="E699" s="28"/>
      <c r="F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</row>
    <row r="700" spans="1:24" ht="14.25" customHeight="1">
      <c r="A700" s="28"/>
      <c r="B700" s="28"/>
      <c r="C700" s="28"/>
      <c r="D700" s="28"/>
      <c r="E700" s="28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</row>
    <row r="701" spans="1:24" ht="14.25" customHeight="1">
      <c r="A701" s="28"/>
      <c r="B701" s="28"/>
      <c r="C701" s="28"/>
      <c r="D701" s="28"/>
      <c r="E701" s="28"/>
      <c r="F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</row>
    <row r="702" spans="1:24" ht="14.25" customHeight="1">
      <c r="A702" s="28"/>
      <c r="B702" s="28"/>
      <c r="C702" s="28"/>
      <c r="D702" s="28"/>
      <c r="E702" s="28"/>
      <c r="F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</row>
    <row r="703" spans="1:24" ht="14.25" customHeight="1">
      <c r="A703" s="28"/>
      <c r="B703" s="28"/>
      <c r="C703" s="28"/>
      <c r="D703" s="28"/>
      <c r="E703" s="28"/>
      <c r="F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</row>
    <row r="704" spans="1:24" ht="14.25" customHeight="1">
      <c r="A704" s="28"/>
      <c r="B704" s="28"/>
      <c r="C704" s="28"/>
      <c r="D704" s="28"/>
      <c r="E704" s="28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</row>
    <row r="705" spans="1:24" ht="14.25" customHeight="1">
      <c r="A705" s="28"/>
      <c r="B705" s="28"/>
      <c r="C705" s="28"/>
      <c r="D705" s="28"/>
      <c r="E705" s="28"/>
      <c r="F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</row>
    <row r="706" spans="1:24" ht="14.25" customHeight="1">
      <c r="A706" s="28"/>
      <c r="B706" s="28"/>
      <c r="C706" s="28"/>
      <c r="D706" s="28"/>
      <c r="E706" s="28"/>
      <c r="F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</row>
    <row r="707" spans="1:24" ht="14.25" customHeight="1">
      <c r="A707" s="28"/>
      <c r="B707" s="28"/>
      <c r="C707" s="28"/>
      <c r="D707" s="28"/>
      <c r="E707" s="28"/>
      <c r="F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</row>
    <row r="708" spans="1:24" ht="14.25" customHeight="1">
      <c r="A708" s="28"/>
      <c r="B708" s="28"/>
      <c r="C708" s="28"/>
      <c r="D708" s="28"/>
      <c r="E708" s="28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</row>
    <row r="709" spans="1:24" ht="14.25" customHeight="1">
      <c r="A709" s="28"/>
      <c r="B709" s="28"/>
      <c r="C709" s="28"/>
      <c r="D709" s="28"/>
      <c r="E709" s="28"/>
      <c r="F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</row>
    <row r="710" spans="1:24" ht="14.25" customHeight="1">
      <c r="A710" s="28"/>
      <c r="B710" s="28"/>
      <c r="C710" s="28"/>
      <c r="D710" s="28"/>
      <c r="E710" s="28"/>
      <c r="F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</row>
    <row r="711" spans="1:24" ht="14.25" customHeight="1">
      <c r="A711" s="28"/>
      <c r="B711" s="28"/>
      <c r="C711" s="28"/>
      <c r="D711" s="28"/>
      <c r="E711" s="28"/>
      <c r="F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</row>
    <row r="712" spans="1:24" ht="14.25" customHeight="1">
      <c r="A712" s="28"/>
      <c r="B712" s="28"/>
      <c r="C712" s="28"/>
      <c r="D712" s="28"/>
      <c r="E712" s="28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</row>
    <row r="713" spans="1:24" ht="14.25" customHeight="1">
      <c r="A713" s="28"/>
      <c r="B713" s="28"/>
      <c r="C713" s="28"/>
      <c r="D713" s="28"/>
      <c r="E713" s="28"/>
      <c r="F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</row>
    <row r="714" spans="1:24" ht="14.25" customHeight="1">
      <c r="A714" s="28"/>
      <c r="B714" s="28"/>
      <c r="C714" s="28"/>
      <c r="D714" s="28"/>
      <c r="E714" s="28"/>
      <c r="F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</row>
    <row r="715" spans="1:24" ht="14.25" customHeight="1">
      <c r="A715" s="28"/>
      <c r="B715" s="28"/>
      <c r="C715" s="28"/>
      <c r="D715" s="28"/>
      <c r="E715" s="28"/>
      <c r="F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</row>
    <row r="716" spans="1:24" ht="14.25" customHeight="1">
      <c r="A716" s="28"/>
      <c r="B716" s="28"/>
      <c r="C716" s="28"/>
      <c r="D716" s="28"/>
      <c r="E716" s="28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</row>
    <row r="717" spans="1:24" ht="14.25" customHeight="1">
      <c r="A717" s="28"/>
      <c r="B717" s="28"/>
      <c r="C717" s="28"/>
      <c r="D717" s="28"/>
      <c r="E717" s="28"/>
      <c r="F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</row>
    <row r="718" spans="1:24" ht="14.25" customHeight="1">
      <c r="A718" s="28"/>
      <c r="B718" s="28"/>
      <c r="C718" s="28"/>
      <c r="D718" s="28"/>
      <c r="E718" s="28"/>
      <c r="F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</row>
    <row r="719" spans="1:24" ht="14.25" customHeight="1">
      <c r="A719" s="28"/>
      <c r="B719" s="28"/>
      <c r="C719" s="28"/>
      <c r="D719" s="28"/>
      <c r="E719" s="28"/>
      <c r="F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</row>
    <row r="720" spans="1:24" ht="14.25" customHeight="1">
      <c r="A720" s="28"/>
      <c r="B720" s="28"/>
      <c r="C720" s="28"/>
      <c r="D720" s="28"/>
      <c r="E720" s="28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</row>
    <row r="721" spans="1:24" ht="14.25" customHeight="1">
      <c r="A721" s="28"/>
      <c r="B721" s="28"/>
      <c r="C721" s="28"/>
      <c r="D721" s="28"/>
      <c r="E721" s="28"/>
      <c r="F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</row>
    <row r="722" spans="1:24" ht="14.25" customHeight="1">
      <c r="A722" s="28"/>
      <c r="B722" s="28"/>
      <c r="C722" s="28"/>
      <c r="D722" s="28"/>
      <c r="E722" s="28"/>
      <c r="F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</row>
    <row r="723" spans="1:24" ht="14.25" customHeight="1">
      <c r="A723" s="28"/>
      <c r="B723" s="28"/>
      <c r="C723" s="28"/>
      <c r="D723" s="28"/>
      <c r="E723" s="28"/>
      <c r="F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</row>
    <row r="724" spans="1:24" ht="14.25" customHeight="1">
      <c r="A724" s="28"/>
      <c r="B724" s="28"/>
      <c r="C724" s="28"/>
      <c r="D724" s="28"/>
      <c r="E724" s="28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</row>
    <row r="725" spans="1:24" ht="14.25" customHeight="1">
      <c r="A725" s="28"/>
      <c r="B725" s="28"/>
      <c r="C725" s="28"/>
      <c r="D725" s="28"/>
      <c r="E725" s="28"/>
      <c r="F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</row>
    <row r="726" spans="1:24" ht="14.25" customHeight="1">
      <c r="A726" s="28"/>
      <c r="B726" s="28"/>
      <c r="C726" s="28"/>
      <c r="D726" s="28"/>
      <c r="E726" s="28"/>
      <c r="F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</row>
    <row r="727" spans="1:24" ht="14.25" customHeight="1">
      <c r="A727" s="28"/>
      <c r="B727" s="28"/>
      <c r="C727" s="28"/>
      <c r="D727" s="28"/>
      <c r="E727" s="28"/>
      <c r="F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</row>
    <row r="728" spans="1:24" ht="14.25" customHeight="1">
      <c r="A728" s="28"/>
      <c r="B728" s="28"/>
      <c r="C728" s="28"/>
      <c r="D728" s="28"/>
      <c r="E728" s="28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</row>
    <row r="729" spans="1:24" ht="14.25" customHeight="1">
      <c r="A729" s="28"/>
      <c r="B729" s="28"/>
      <c r="C729" s="28"/>
      <c r="D729" s="28"/>
      <c r="E729" s="28"/>
      <c r="F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</row>
    <row r="730" spans="1:24" ht="14.25" customHeight="1">
      <c r="A730" s="28"/>
      <c r="B730" s="28"/>
      <c r="C730" s="28"/>
      <c r="D730" s="28"/>
      <c r="E730" s="28"/>
      <c r="F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</row>
    <row r="731" spans="1:24" ht="14.25" customHeight="1">
      <c r="A731" s="28"/>
      <c r="B731" s="28"/>
      <c r="C731" s="28"/>
      <c r="D731" s="28"/>
      <c r="E731" s="28"/>
      <c r="F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</row>
    <row r="732" spans="1:24" ht="14.25" customHeight="1">
      <c r="A732" s="28"/>
      <c r="B732" s="28"/>
      <c r="C732" s="28"/>
      <c r="D732" s="28"/>
      <c r="E732" s="28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</row>
    <row r="733" spans="1:24" ht="14.25" customHeight="1">
      <c r="A733" s="28"/>
      <c r="B733" s="28"/>
      <c r="C733" s="28"/>
      <c r="D733" s="28"/>
      <c r="E733" s="28"/>
      <c r="F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</row>
    <row r="734" spans="1:24" ht="14.25" customHeight="1">
      <c r="A734" s="28"/>
      <c r="B734" s="28"/>
      <c r="C734" s="28"/>
      <c r="D734" s="28"/>
      <c r="E734" s="28"/>
      <c r="F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</row>
    <row r="735" spans="1:24" ht="14.25" customHeight="1">
      <c r="A735" s="28"/>
      <c r="B735" s="28"/>
      <c r="C735" s="28"/>
      <c r="D735" s="28"/>
      <c r="E735" s="28"/>
      <c r="F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</row>
    <row r="736" spans="1:24" ht="14.25" customHeight="1">
      <c r="A736" s="28"/>
      <c r="B736" s="28"/>
      <c r="C736" s="28"/>
      <c r="D736" s="28"/>
      <c r="E736" s="28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</row>
    <row r="737" spans="1:24" ht="14.25" customHeight="1">
      <c r="A737" s="28"/>
      <c r="B737" s="28"/>
      <c r="C737" s="28"/>
      <c r="D737" s="28"/>
      <c r="E737" s="28"/>
      <c r="F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</row>
    <row r="738" spans="1:24" ht="14.25" customHeight="1">
      <c r="A738" s="28"/>
      <c r="B738" s="28"/>
      <c r="C738" s="28"/>
      <c r="D738" s="28"/>
      <c r="E738" s="28"/>
      <c r="F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</row>
    <row r="739" spans="1:24" ht="14.25" customHeight="1">
      <c r="A739" s="28"/>
      <c r="B739" s="28"/>
      <c r="C739" s="28"/>
      <c r="D739" s="28"/>
      <c r="E739" s="28"/>
      <c r="F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</row>
    <row r="740" spans="1:24" ht="14.25" customHeight="1">
      <c r="A740" s="28"/>
      <c r="B740" s="28"/>
      <c r="C740" s="28"/>
      <c r="D740" s="28"/>
      <c r="E740" s="28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</row>
    <row r="741" spans="1:24" ht="14.25" customHeight="1">
      <c r="A741" s="28"/>
      <c r="B741" s="28"/>
      <c r="C741" s="28"/>
      <c r="D741" s="28"/>
      <c r="E741" s="28"/>
      <c r="F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</row>
    <row r="742" spans="1:24" ht="14.25" customHeight="1">
      <c r="A742" s="28"/>
      <c r="B742" s="28"/>
      <c r="C742" s="28"/>
      <c r="D742" s="28"/>
      <c r="E742" s="28"/>
      <c r="F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</row>
    <row r="743" spans="1:24" ht="14.25" customHeight="1">
      <c r="A743" s="28"/>
      <c r="B743" s="28"/>
      <c r="C743" s="28"/>
      <c r="D743" s="28"/>
      <c r="E743" s="28"/>
      <c r="F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</row>
    <row r="744" spans="1:24" ht="14.25" customHeight="1">
      <c r="A744" s="28"/>
      <c r="B744" s="28"/>
      <c r="C744" s="28"/>
      <c r="D744" s="28"/>
      <c r="E744" s="28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</row>
    <row r="745" spans="1:24" ht="14.25" customHeight="1">
      <c r="A745" s="28"/>
      <c r="B745" s="28"/>
      <c r="C745" s="28"/>
      <c r="D745" s="28"/>
      <c r="E745" s="28"/>
      <c r="F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</row>
    <row r="746" spans="1:24" ht="14.25" customHeight="1">
      <c r="A746" s="28"/>
      <c r="B746" s="28"/>
      <c r="C746" s="28"/>
      <c r="D746" s="28"/>
      <c r="E746" s="28"/>
      <c r="F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</row>
    <row r="747" spans="1:24" ht="14.25" customHeight="1">
      <c r="A747" s="28"/>
      <c r="B747" s="28"/>
      <c r="C747" s="28"/>
      <c r="D747" s="28"/>
      <c r="E747" s="28"/>
      <c r="F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</row>
    <row r="748" spans="1:24" ht="14.25" customHeight="1">
      <c r="A748" s="28"/>
      <c r="B748" s="28"/>
      <c r="C748" s="28"/>
      <c r="D748" s="28"/>
      <c r="E748" s="28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</row>
    <row r="749" spans="1:24" ht="14.25" customHeight="1">
      <c r="A749" s="28"/>
      <c r="B749" s="28"/>
      <c r="C749" s="28"/>
      <c r="D749" s="28"/>
      <c r="E749" s="28"/>
      <c r="F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</row>
    <row r="750" spans="1:24" ht="14.25" customHeight="1">
      <c r="A750" s="28"/>
      <c r="B750" s="28"/>
      <c r="C750" s="28"/>
      <c r="D750" s="28"/>
      <c r="E750" s="28"/>
      <c r="F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</row>
    <row r="751" spans="1:24" ht="14.25" customHeight="1">
      <c r="A751" s="28"/>
      <c r="B751" s="28"/>
      <c r="C751" s="28"/>
      <c r="D751" s="28"/>
      <c r="E751" s="28"/>
      <c r="F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</row>
    <row r="752" spans="1:24" ht="14.25" customHeight="1">
      <c r="A752" s="28"/>
      <c r="B752" s="28"/>
      <c r="C752" s="28"/>
      <c r="D752" s="28"/>
      <c r="E752" s="28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</row>
    <row r="753" spans="1:24" ht="14.25" customHeight="1">
      <c r="A753" s="28"/>
      <c r="B753" s="28"/>
      <c r="C753" s="28"/>
      <c r="D753" s="28"/>
      <c r="E753" s="28"/>
      <c r="F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</row>
    <row r="754" spans="1:24" ht="14.25" customHeight="1">
      <c r="A754" s="28"/>
      <c r="B754" s="28"/>
      <c r="C754" s="28"/>
      <c r="D754" s="28"/>
      <c r="E754" s="28"/>
      <c r="F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</row>
    <row r="755" spans="1:24" ht="14.25" customHeight="1">
      <c r="A755" s="28"/>
      <c r="B755" s="28"/>
      <c r="C755" s="28"/>
      <c r="D755" s="28"/>
      <c r="E755" s="28"/>
      <c r="F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</row>
    <row r="756" spans="1:24" ht="14.25" customHeight="1">
      <c r="A756" s="28"/>
      <c r="B756" s="28"/>
      <c r="C756" s="28"/>
      <c r="D756" s="28"/>
      <c r="E756" s="28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</row>
    <row r="757" spans="1:24" ht="14.25" customHeight="1">
      <c r="A757" s="28"/>
      <c r="B757" s="28"/>
      <c r="C757" s="28"/>
      <c r="D757" s="28"/>
      <c r="E757" s="28"/>
      <c r="F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</row>
    <row r="758" spans="1:24" ht="14.25" customHeight="1">
      <c r="A758" s="28"/>
      <c r="B758" s="28"/>
      <c r="C758" s="28"/>
      <c r="D758" s="28"/>
      <c r="E758" s="28"/>
      <c r="F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</row>
    <row r="759" spans="1:24" ht="14.25" customHeight="1">
      <c r="A759" s="28"/>
      <c r="B759" s="28"/>
      <c r="C759" s="28"/>
      <c r="D759" s="28"/>
      <c r="E759" s="28"/>
      <c r="F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</row>
    <row r="760" spans="1:24" ht="14.25" customHeight="1">
      <c r="A760" s="28"/>
      <c r="B760" s="28"/>
      <c r="C760" s="28"/>
      <c r="D760" s="28"/>
      <c r="E760" s="28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</row>
    <row r="761" spans="1:24" ht="14.25" customHeight="1">
      <c r="A761" s="28"/>
      <c r="B761" s="28"/>
      <c r="C761" s="28"/>
      <c r="D761" s="28"/>
      <c r="E761" s="28"/>
      <c r="F761" s="2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</row>
    <row r="762" spans="1:24" ht="14.25" customHeight="1">
      <c r="A762" s="28"/>
      <c r="B762" s="28"/>
      <c r="C762" s="28"/>
      <c r="D762" s="28"/>
      <c r="E762" s="28"/>
      <c r="F762" s="2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</row>
    <row r="763" spans="1:24" ht="14.25" customHeight="1">
      <c r="A763" s="28"/>
      <c r="B763" s="28"/>
      <c r="C763" s="28"/>
      <c r="D763" s="28"/>
      <c r="E763" s="28"/>
      <c r="F763" s="2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</row>
    <row r="764" spans="1:24" ht="14.25" customHeight="1">
      <c r="A764" s="28"/>
      <c r="B764" s="28"/>
      <c r="C764" s="28"/>
      <c r="D764" s="28"/>
      <c r="E764" s="28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</row>
    <row r="765" spans="1:24" ht="14.25" customHeight="1">
      <c r="A765" s="28"/>
      <c r="B765" s="28"/>
      <c r="C765" s="28"/>
      <c r="D765" s="28"/>
      <c r="E765" s="28"/>
      <c r="F765" s="2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</row>
    <row r="766" spans="1:24" ht="14.25" customHeight="1">
      <c r="A766" s="28"/>
      <c r="B766" s="28"/>
      <c r="C766" s="28"/>
      <c r="D766" s="28"/>
      <c r="E766" s="28"/>
      <c r="F766" s="2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</row>
    <row r="767" spans="1:24" ht="14.25" customHeight="1">
      <c r="A767" s="28"/>
      <c r="B767" s="28"/>
      <c r="C767" s="28"/>
      <c r="D767" s="28"/>
      <c r="E767" s="28"/>
      <c r="F767" s="2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</row>
    <row r="768" spans="1:24" ht="14.25" customHeight="1">
      <c r="A768" s="28"/>
      <c r="B768" s="28"/>
      <c r="C768" s="28"/>
      <c r="D768" s="28"/>
      <c r="E768" s="28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</row>
    <row r="769" spans="1:24" ht="14.25" customHeight="1">
      <c r="A769" s="28"/>
      <c r="B769" s="28"/>
      <c r="C769" s="28"/>
      <c r="D769" s="28"/>
      <c r="E769" s="28"/>
      <c r="F769" s="2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</row>
    <row r="770" spans="1:24" ht="14.25" customHeight="1">
      <c r="A770" s="28"/>
      <c r="B770" s="28"/>
      <c r="C770" s="28"/>
      <c r="D770" s="28"/>
      <c r="E770" s="28"/>
      <c r="F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</row>
    <row r="771" spans="1:24" ht="14.25" customHeight="1">
      <c r="A771" s="28"/>
      <c r="B771" s="28"/>
      <c r="C771" s="28"/>
      <c r="D771" s="28"/>
      <c r="E771" s="28"/>
      <c r="F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</row>
    <row r="772" spans="1:24" ht="14.25" customHeight="1">
      <c r="A772" s="28"/>
      <c r="B772" s="28"/>
      <c r="C772" s="28"/>
      <c r="D772" s="28"/>
      <c r="E772" s="28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</row>
    <row r="773" spans="1:24" ht="14.25" customHeight="1">
      <c r="A773" s="28"/>
      <c r="B773" s="28"/>
      <c r="C773" s="28"/>
      <c r="D773" s="28"/>
      <c r="E773" s="28"/>
      <c r="F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</row>
    <row r="774" spans="1:24" ht="14.25" customHeight="1">
      <c r="A774" s="28"/>
      <c r="B774" s="28"/>
      <c r="C774" s="28"/>
      <c r="D774" s="28"/>
      <c r="E774" s="28"/>
      <c r="F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</row>
    <row r="775" spans="1:24" ht="14.25" customHeight="1">
      <c r="A775" s="28"/>
      <c r="B775" s="28"/>
      <c r="C775" s="28"/>
      <c r="D775" s="28"/>
      <c r="E775" s="28"/>
      <c r="F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</row>
    <row r="776" spans="1:24" ht="14.25" customHeight="1">
      <c r="A776" s="28"/>
      <c r="B776" s="28"/>
      <c r="C776" s="28"/>
      <c r="D776" s="28"/>
      <c r="E776" s="28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</row>
    <row r="777" spans="1:24" ht="14.25" customHeight="1">
      <c r="A777" s="28"/>
      <c r="B777" s="28"/>
      <c r="C777" s="28"/>
      <c r="D777" s="28"/>
      <c r="E777" s="28"/>
      <c r="F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</row>
    <row r="778" spans="1:24" ht="14.25" customHeight="1">
      <c r="A778" s="28"/>
      <c r="B778" s="28"/>
      <c r="C778" s="28"/>
      <c r="D778" s="28"/>
      <c r="E778" s="28"/>
      <c r="F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</row>
    <row r="779" spans="1:24" ht="14.25" customHeight="1">
      <c r="A779" s="28"/>
      <c r="B779" s="28"/>
      <c r="C779" s="28"/>
      <c r="D779" s="28"/>
      <c r="E779" s="28"/>
      <c r="F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</row>
    <row r="780" spans="1:24" ht="14.25" customHeight="1">
      <c r="A780" s="28"/>
      <c r="B780" s="28"/>
      <c r="C780" s="28"/>
      <c r="D780" s="28"/>
      <c r="E780" s="28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</row>
    <row r="781" spans="1:24" ht="14.25" customHeight="1">
      <c r="A781" s="28"/>
      <c r="B781" s="28"/>
      <c r="C781" s="28"/>
      <c r="D781" s="28"/>
      <c r="E781" s="28"/>
      <c r="F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</row>
    <row r="782" spans="1:24" ht="14.25" customHeight="1">
      <c r="A782" s="28"/>
      <c r="B782" s="28"/>
      <c r="C782" s="28"/>
      <c r="D782" s="28"/>
      <c r="E782" s="28"/>
      <c r="F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</row>
    <row r="783" spans="1:24" ht="14.25" customHeight="1">
      <c r="A783" s="28"/>
      <c r="B783" s="28"/>
      <c r="C783" s="28"/>
      <c r="D783" s="28"/>
      <c r="E783" s="28"/>
      <c r="F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</row>
    <row r="784" spans="1:24" ht="14.25" customHeight="1">
      <c r="A784" s="28"/>
      <c r="B784" s="28"/>
      <c r="C784" s="28"/>
      <c r="D784" s="28"/>
      <c r="E784" s="28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</row>
    <row r="785" spans="1:24" ht="14.25" customHeight="1">
      <c r="A785" s="28"/>
      <c r="B785" s="28"/>
      <c r="C785" s="28"/>
      <c r="D785" s="28"/>
      <c r="E785" s="28"/>
      <c r="F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</row>
    <row r="786" spans="1:24" ht="14.25" customHeight="1">
      <c r="A786" s="28"/>
      <c r="B786" s="28"/>
      <c r="C786" s="28"/>
      <c r="D786" s="28"/>
      <c r="E786" s="28"/>
      <c r="F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</row>
    <row r="787" spans="1:24" ht="14.25" customHeight="1">
      <c r="A787" s="28"/>
      <c r="B787" s="28"/>
      <c r="C787" s="28"/>
      <c r="D787" s="28"/>
      <c r="E787" s="28"/>
      <c r="F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</row>
    <row r="788" spans="1:24" ht="14.25" customHeight="1">
      <c r="A788" s="28"/>
      <c r="B788" s="28"/>
      <c r="C788" s="28"/>
      <c r="D788" s="28"/>
      <c r="E788" s="28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</row>
    <row r="789" spans="1:24" ht="14.25" customHeight="1">
      <c r="A789" s="28"/>
      <c r="B789" s="28"/>
      <c r="C789" s="28"/>
      <c r="D789" s="28"/>
      <c r="E789" s="28"/>
      <c r="F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</row>
    <row r="790" spans="1:24" ht="14.25" customHeight="1">
      <c r="A790" s="28"/>
      <c r="B790" s="28"/>
      <c r="C790" s="28"/>
      <c r="D790" s="28"/>
      <c r="E790" s="28"/>
      <c r="F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</row>
    <row r="791" spans="1:24" ht="14.25" customHeight="1">
      <c r="A791" s="28"/>
      <c r="B791" s="28"/>
      <c r="C791" s="28"/>
      <c r="D791" s="28"/>
      <c r="E791" s="28"/>
      <c r="F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</row>
    <row r="792" spans="1:24" ht="14.25" customHeight="1">
      <c r="A792" s="28"/>
      <c r="B792" s="28"/>
      <c r="C792" s="28"/>
      <c r="D792" s="28"/>
      <c r="E792" s="28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</row>
    <row r="793" spans="1:24" ht="14.25" customHeight="1">
      <c r="A793" s="28"/>
      <c r="B793" s="28"/>
      <c r="C793" s="28"/>
      <c r="D793" s="28"/>
      <c r="E793" s="28"/>
      <c r="F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</row>
    <row r="794" spans="1:24" ht="14.25" customHeight="1">
      <c r="A794" s="28"/>
      <c r="B794" s="28"/>
      <c r="C794" s="28"/>
      <c r="D794" s="28"/>
      <c r="E794" s="28"/>
      <c r="F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</row>
    <row r="795" spans="1:24" ht="14.25" customHeight="1">
      <c r="A795" s="28"/>
      <c r="B795" s="28"/>
      <c r="C795" s="28"/>
      <c r="D795" s="28"/>
      <c r="E795" s="28"/>
      <c r="F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</row>
    <row r="796" spans="1:24" ht="14.25" customHeight="1">
      <c r="A796" s="28"/>
      <c r="B796" s="28"/>
      <c r="C796" s="28"/>
      <c r="D796" s="28"/>
      <c r="E796" s="28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</row>
    <row r="797" spans="1:24" ht="14.25" customHeight="1">
      <c r="A797" s="28"/>
      <c r="B797" s="28"/>
      <c r="C797" s="28"/>
      <c r="D797" s="28"/>
      <c r="E797" s="28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</row>
    <row r="798" spans="1:24" ht="14.25" customHeight="1">
      <c r="A798" s="28"/>
      <c r="B798" s="28"/>
      <c r="C798" s="28"/>
      <c r="D798" s="28"/>
      <c r="E798" s="28"/>
      <c r="F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</row>
    <row r="799" spans="1:24" ht="14.25" customHeight="1">
      <c r="A799" s="28"/>
      <c r="B799" s="28"/>
      <c r="C799" s="28"/>
      <c r="D799" s="28"/>
      <c r="E799" s="28"/>
      <c r="F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</row>
    <row r="800" spans="1:24" ht="14.25" customHeight="1">
      <c r="A800" s="28"/>
      <c r="B800" s="28"/>
      <c r="C800" s="28"/>
      <c r="D800" s="28"/>
      <c r="E800" s="28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</row>
    <row r="801" spans="1:24" ht="14.25" customHeight="1">
      <c r="A801" s="28"/>
      <c r="B801" s="28"/>
      <c r="C801" s="28"/>
      <c r="D801" s="28"/>
      <c r="E801" s="28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</row>
    <row r="802" spans="1:24" ht="14.25" customHeight="1">
      <c r="A802" s="28"/>
      <c r="B802" s="28"/>
      <c r="C802" s="28"/>
      <c r="D802" s="28"/>
      <c r="E802" s="28"/>
      <c r="F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</row>
    <row r="803" spans="1:24" ht="14.25" customHeight="1">
      <c r="A803" s="28"/>
      <c r="B803" s="28"/>
      <c r="C803" s="28"/>
      <c r="D803" s="28"/>
      <c r="E803" s="28"/>
      <c r="F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</row>
    <row r="804" spans="1:24" ht="14.25" customHeight="1">
      <c r="A804" s="28"/>
      <c r="B804" s="28"/>
      <c r="C804" s="28"/>
      <c r="D804" s="28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</row>
    <row r="805" spans="1:24" ht="14.25" customHeight="1">
      <c r="A805" s="28"/>
      <c r="B805" s="28"/>
      <c r="C805" s="28"/>
      <c r="D805" s="28"/>
      <c r="E805" s="28"/>
      <c r="F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</row>
    <row r="806" spans="1:24" ht="14.25" customHeight="1">
      <c r="A806" s="28"/>
      <c r="B806" s="28"/>
      <c r="C806" s="28"/>
      <c r="D806" s="28"/>
      <c r="E806" s="28"/>
      <c r="F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</row>
    <row r="807" spans="1:24" ht="14.25" customHeight="1">
      <c r="A807" s="28"/>
      <c r="B807" s="28"/>
      <c r="C807" s="28"/>
      <c r="D807" s="28"/>
      <c r="E807" s="28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</row>
    <row r="808" spans="1:24" ht="14.25" customHeight="1">
      <c r="A808" s="28"/>
      <c r="B808" s="28"/>
      <c r="C808" s="28"/>
      <c r="D808" s="28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</row>
    <row r="809" spans="1:24" ht="14.25" customHeight="1">
      <c r="A809" s="28"/>
      <c r="B809" s="28"/>
      <c r="C809" s="28"/>
      <c r="D809" s="28"/>
      <c r="E809" s="28"/>
      <c r="F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</row>
    <row r="810" spans="1:24" ht="14.25" customHeight="1">
      <c r="A810" s="28"/>
      <c r="B810" s="28"/>
      <c r="C810" s="28"/>
      <c r="D810" s="28"/>
      <c r="E810" s="28"/>
      <c r="F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</row>
    <row r="811" spans="1:24" ht="14.25" customHeight="1">
      <c r="A811" s="28"/>
      <c r="B811" s="28"/>
      <c r="C811" s="28"/>
      <c r="D811" s="28"/>
      <c r="E811" s="28"/>
      <c r="F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</row>
    <row r="812" spans="1:24" ht="14.25" customHeight="1">
      <c r="A812" s="28"/>
      <c r="B812" s="28"/>
      <c r="C812" s="28"/>
      <c r="D812" s="28"/>
      <c r="E812" s="28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</row>
    <row r="813" spans="1:24" ht="14.25" customHeight="1">
      <c r="A813" s="28"/>
      <c r="B813" s="28"/>
      <c r="C813" s="28"/>
      <c r="D813" s="28"/>
      <c r="E813" s="28"/>
      <c r="F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</row>
    <row r="814" spans="1:24" ht="14.25" customHeight="1">
      <c r="A814" s="28"/>
      <c r="B814" s="28"/>
      <c r="C814" s="28"/>
      <c r="D814" s="28"/>
      <c r="E814" s="28"/>
      <c r="F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</row>
    <row r="815" spans="1:24" ht="14.25" customHeight="1">
      <c r="A815" s="28"/>
      <c r="B815" s="28"/>
      <c r="C815" s="28"/>
      <c r="D815" s="28"/>
      <c r="E815" s="28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</row>
    <row r="816" spans="1:24" ht="14.25" customHeight="1">
      <c r="A816" s="28"/>
      <c r="B816" s="28"/>
      <c r="C816" s="28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</row>
    <row r="817" spans="1:24" ht="14.25" customHeight="1">
      <c r="A817" s="28"/>
      <c r="B817" s="28"/>
      <c r="C817" s="28"/>
      <c r="D817" s="28"/>
      <c r="E817" s="28"/>
      <c r="F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</row>
    <row r="818" spans="1:24" ht="14.25" customHeight="1">
      <c r="A818" s="28"/>
      <c r="B818" s="28"/>
      <c r="C818" s="28"/>
      <c r="D818" s="28"/>
      <c r="E818" s="28"/>
      <c r="F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</row>
    <row r="819" spans="1:24" ht="14.25" customHeight="1">
      <c r="A819" s="28"/>
      <c r="B819" s="28"/>
      <c r="C819" s="28"/>
      <c r="D819" s="28"/>
      <c r="E819" s="28"/>
      <c r="F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</row>
    <row r="820" spans="1:24" ht="14.25" customHeight="1">
      <c r="A820" s="28"/>
      <c r="B820" s="28"/>
      <c r="C820" s="28"/>
      <c r="D820" s="28"/>
      <c r="E820" s="28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</row>
    <row r="821" spans="1:24" ht="14.25" customHeight="1">
      <c r="A821" s="28"/>
      <c r="B821" s="28"/>
      <c r="C821" s="28"/>
      <c r="D821" s="28"/>
      <c r="E821" s="28"/>
      <c r="F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</row>
    <row r="822" spans="1:24" ht="14.25" customHeight="1">
      <c r="A822" s="28"/>
      <c r="B822" s="28"/>
      <c r="C822" s="28"/>
      <c r="D822" s="28"/>
      <c r="E822" s="28"/>
      <c r="F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</row>
    <row r="823" spans="1:24" ht="14.25" customHeight="1">
      <c r="A823" s="28"/>
      <c r="B823" s="28"/>
      <c r="C823" s="28"/>
      <c r="D823" s="28"/>
      <c r="E823" s="28"/>
      <c r="F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</row>
    <row r="824" spans="1:24" ht="14.25" customHeight="1">
      <c r="A824" s="28"/>
      <c r="B824" s="28"/>
      <c r="C824" s="28"/>
      <c r="D824" s="28"/>
      <c r="E824" s="28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</row>
    <row r="825" spans="1:24" ht="14.25" customHeight="1">
      <c r="A825" s="28"/>
      <c r="B825" s="28"/>
      <c r="C825" s="28"/>
      <c r="D825" s="28"/>
      <c r="E825" s="28"/>
      <c r="F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</row>
    <row r="826" spans="1:24" ht="14.25" customHeight="1">
      <c r="A826" s="28"/>
      <c r="B826" s="28"/>
      <c r="C826" s="28"/>
      <c r="D826" s="28"/>
      <c r="E826" s="28"/>
      <c r="F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</row>
    <row r="827" spans="1:24" ht="14.25" customHeight="1">
      <c r="A827" s="28"/>
      <c r="B827" s="28"/>
      <c r="C827" s="28"/>
      <c r="D827" s="28"/>
      <c r="E827" s="28"/>
      <c r="F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</row>
    <row r="828" spans="1:24" ht="14.25" customHeight="1">
      <c r="A828" s="28"/>
      <c r="B828" s="28"/>
      <c r="C828" s="28"/>
      <c r="D828" s="28"/>
      <c r="E828" s="28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</row>
    <row r="829" spans="1:24" ht="14.25" customHeight="1">
      <c r="A829" s="28"/>
      <c r="B829" s="28"/>
      <c r="C829" s="28"/>
      <c r="D829" s="28"/>
      <c r="E829" s="28"/>
      <c r="F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</row>
    <row r="830" spans="1:24" ht="14.25" customHeight="1">
      <c r="A830" s="28"/>
      <c r="B830" s="28"/>
      <c r="C830" s="28"/>
      <c r="D830" s="28"/>
      <c r="E830" s="28"/>
      <c r="F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</row>
    <row r="831" spans="1:24" ht="14.25" customHeight="1">
      <c r="A831" s="28"/>
      <c r="B831" s="28"/>
      <c r="C831" s="28"/>
      <c r="D831" s="28"/>
      <c r="E831" s="28"/>
      <c r="F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</row>
    <row r="832" spans="1:24" ht="14.25" customHeight="1">
      <c r="A832" s="28"/>
      <c r="B832" s="28"/>
      <c r="C832" s="28"/>
      <c r="D832" s="28"/>
      <c r="E832" s="28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</row>
    <row r="833" spans="1:24" ht="14.25" customHeight="1">
      <c r="A833" s="28"/>
      <c r="B833" s="28"/>
      <c r="C833" s="28"/>
      <c r="D833" s="28"/>
      <c r="E833" s="28"/>
      <c r="F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</row>
    <row r="834" spans="1:24" ht="14.25" customHeight="1">
      <c r="A834" s="28"/>
      <c r="B834" s="28"/>
      <c r="C834" s="28"/>
      <c r="D834" s="28"/>
      <c r="E834" s="28"/>
      <c r="F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</row>
    <row r="835" spans="1:24" ht="14.25" customHeight="1">
      <c r="A835" s="28"/>
      <c r="B835" s="28"/>
      <c r="C835" s="28"/>
      <c r="D835" s="28"/>
      <c r="E835" s="28"/>
      <c r="F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</row>
    <row r="836" spans="1:24" ht="14.25" customHeight="1">
      <c r="A836" s="28"/>
      <c r="B836" s="28"/>
      <c r="C836" s="28"/>
      <c r="D836" s="28"/>
      <c r="E836" s="28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</row>
    <row r="837" spans="1:24" ht="14.25" customHeight="1">
      <c r="A837" s="28"/>
      <c r="B837" s="28"/>
      <c r="C837" s="28"/>
      <c r="D837" s="28"/>
      <c r="E837" s="28"/>
      <c r="F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</row>
    <row r="838" spans="1:24" ht="14.25" customHeight="1">
      <c r="A838" s="28"/>
      <c r="B838" s="28"/>
      <c r="C838" s="28"/>
      <c r="D838" s="28"/>
      <c r="E838" s="28"/>
      <c r="F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</row>
    <row r="839" spans="1:24" ht="14.25" customHeight="1">
      <c r="A839" s="28"/>
      <c r="B839" s="28"/>
      <c r="C839" s="28"/>
      <c r="D839" s="28"/>
      <c r="E839" s="28"/>
      <c r="F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</row>
    <row r="840" spans="1:24" ht="14.25" customHeight="1">
      <c r="A840" s="28"/>
      <c r="B840" s="28"/>
      <c r="C840" s="28"/>
      <c r="D840" s="28"/>
      <c r="E840" s="28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</row>
    <row r="841" spans="1:24" ht="14.25" customHeight="1">
      <c r="A841" s="28"/>
      <c r="B841" s="28"/>
      <c r="C841" s="28"/>
      <c r="D841" s="28"/>
      <c r="E841" s="28"/>
      <c r="F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</row>
    <row r="842" spans="1:24" ht="14.25" customHeight="1">
      <c r="A842" s="28"/>
      <c r="B842" s="28"/>
      <c r="C842" s="28"/>
      <c r="D842" s="28"/>
      <c r="E842" s="28"/>
      <c r="F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</row>
    <row r="843" spans="1:24" ht="14.25" customHeight="1">
      <c r="A843" s="28"/>
      <c r="B843" s="28"/>
      <c r="C843" s="28"/>
      <c r="D843" s="28"/>
      <c r="E843" s="28"/>
      <c r="F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</row>
    <row r="844" spans="1:24" ht="14.25" customHeight="1">
      <c r="A844" s="28"/>
      <c r="B844" s="28"/>
      <c r="C844" s="28"/>
      <c r="D844" s="28"/>
      <c r="E844" s="28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</row>
    <row r="845" spans="1:24" ht="14.25" customHeight="1">
      <c r="A845" s="28"/>
      <c r="B845" s="28"/>
      <c r="C845" s="28"/>
      <c r="D845" s="28"/>
      <c r="E845" s="28"/>
      <c r="F845" s="2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</row>
    <row r="846" spans="1:24" ht="14.25" customHeight="1">
      <c r="A846" s="28"/>
      <c r="B846" s="28"/>
      <c r="C846" s="28"/>
      <c r="D846" s="28"/>
      <c r="E846" s="28"/>
      <c r="F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</row>
    <row r="847" spans="1:24" ht="14.25" customHeight="1">
      <c r="A847" s="28"/>
      <c r="B847" s="28"/>
      <c r="C847" s="28"/>
      <c r="D847" s="28"/>
      <c r="E847" s="28"/>
      <c r="F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</row>
    <row r="848" spans="1:24" ht="14.25" customHeight="1">
      <c r="A848" s="28"/>
      <c r="B848" s="28"/>
      <c r="C848" s="28"/>
      <c r="D848" s="28"/>
      <c r="E848" s="28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</row>
    <row r="849" spans="1:24" ht="14.25" customHeight="1">
      <c r="A849" s="28"/>
      <c r="B849" s="28"/>
      <c r="C849" s="28"/>
      <c r="D849" s="28"/>
      <c r="E849" s="28"/>
      <c r="F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</row>
    <row r="850" spans="1:24" ht="14.25" customHeight="1">
      <c r="A850" s="28"/>
      <c r="B850" s="28"/>
      <c r="C850" s="28"/>
      <c r="D850" s="28"/>
      <c r="E850" s="28"/>
      <c r="F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</row>
    <row r="851" spans="1:24" ht="14.25" customHeight="1">
      <c r="A851" s="28"/>
      <c r="B851" s="28"/>
      <c r="C851" s="28"/>
      <c r="D851" s="28"/>
      <c r="E851" s="28"/>
      <c r="F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</row>
    <row r="852" spans="1:24" ht="14.25" customHeight="1">
      <c r="A852" s="28"/>
      <c r="B852" s="28"/>
      <c r="C852" s="28"/>
      <c r="D852" s="28"/>
      <c r="E852" s="28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</row>
    <row r="853" spans="1:24" ht="14.25" customHeight="1">
      <c r="A853" s="28"/>
      <c r="B853" s="28"/>
      <c r="C853" s="28"/>
      <c r="D853" s="28"/>
      <c r="E853" s="28"/>
      <c r="F853" s="2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</row>
    <row r="854" spans="1:24" ht="14.25" customHeight="1">
      <c r="A854" s="28"/>
      <c r="B854" s="28"/>
      <c r="C854" s="28"/>
      <c r="D854" s="28"/>
      <c r="E854" s="28"/>
      <c r="F854" s="2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</row>
    <row r="855" spans="1:24" ht="14.25" customHeight="1">
      <c r="A855" s="28"/>
      <c r="B855" s="28"/>
      <c r="C855" s="28"/>
      <c r="D855" s="28"/>
      <c r="E855" s="28"/>
      <c r="F855" s="2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</row>
    <row r="856" spans="1:24" ht="14.25" customHeight="1">
      <c r="A856" s="28"/>
      <c r="B856" s="28"/>
      <c r="C856" s="28"/>
      <c r="D856" s="28"/>
      <c r="E856" s="28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</row>
    <row r="857" spans="1:24" ht="14.25" customHeight="1">
      <c r="A857" s="28"/>
      <c r="B857" s="28"/>
      <c r="C857" s="28"/>
      <c r="D857" s="28"/>
      <c r="E857" s="28"/>
      <c r="F857" s="2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</row>
    <row r="858" spans="1:24" ht="14.25" customHeight="1">
      <c r="A858" s="28"/>
      <c r="B858" s="28"/>
      <c r="C858" s="28"/>
      <c r="D858" s="28"/>
      <c r="E858" s="28"/>
      <c r="F858" s="2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</row>
    <row r="859" spans="1:24" ht="14.25" customHeight="1">
      <c r="A859" s="28"/>
      <c r="B859" s="28"/>
      <c r="C859" s="28"/>
      <c r="D859" s="28"/>
      <c r="E859" s="28"/>
      <c r="F859" s="2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</row>
    <row r="860" spans="1:24" ht="14.25" customHeight="1">
      <c r="A860" s="28"/>
      <c r="B860" s="28"/>
      <c r="C860" s="28"/>
      <c r="D860" s="28"/>
      <c r="E860" s="28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</row>
    <row r="861" spans="1:24" ht="14.25" customHeight="1">
      <c r="A861" s="28"/>
      <c r="B861" s="28"/>
      <c r="C861" s="28"/>
      <c r="D861" s="28"/>
      <c r="E861" s="28"/>
      <c r="F861" s="2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</row>
    <row r="862" spans="1:24" ht="14.25" customHeight="1">
      <c r="A862" s="28"/>
      <c r="B862" s="28"/>
      <c r="C862" s="28"/>
      <c r="D862" s="28"/>
      <c r="E862" s="28"/>
      <c r="F862" s="2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</row>
    <row r="863" spans="1:24" ht="14.25" customHeight="1">
      <c r="A863" s="28"/>
      <c r="B863" s="28"/>
      <c r="C863" s="28"/>
      <c r="D863" s="28"/>
      <c r="E863" s="28"/>
      <c r="F863" s="2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</row>
    <row r="864" spans="1:24" ht="14.25" customHeight="1">
      <c r="A864" s="28"/>
      <c r="B864" s="28"/>
      <c r="C864" s="28"/>
      <c r="D864" s="28"/>
      <c r="E864" s="28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</row>
    <row r="865" spans="1:24" ht="14.25" customHeight="1">
      <c r="A865" s="28"/>
      <c r="B865" s="28"/>
      <c r="C865" s="28"/>
      <c r="D865" s="28"/>
      <c r="E865" s="28"/>
      <c r="F865" s="2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</row>
    <row r="866" spans="1:24" ht="14.25" customHeight="1">
      <c r="A866" s="28"/>
      <c r="B866" s="28"/>
      <c r="C866" s="28"/>
      <c r="D866" s="28"/>
      <c r="E866" s="28"/>
      <c r="F866" s="2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</row>
    <row r="867" spans="1:24" ht="14.25" customHeight="1">
      <c r="A867" s="28"/>
      <c r="B867" s="28"/>
      <c r="C867" s="28"/>
      <c r="D867" s="28"/>
      <c r="E867" s="28"/>
      <c r="F867" s="2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</row>
    <row r="868" spans="1:24" ht="14.25" customHeight="1">
      <c r="A868" s="28"/>
      <c r="B868" s="28"/>
      <c r="C868" s="28"/>
      <c r="D868" s="28"/>
      <c r="E868" s="28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</row>
    <row r="869" spans="1:24" ht="14.25" customHeight="1">
      <c r="A869" s="28"/>
      <c r="B869" s="28"/>
      <c r="C869" s="28"/>
      <c r="D869" s="28"/>
      <c r="E869" s="28"/>
      <c r="F869" s="2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</row>
    <row r="870" spans="1:24" ht="14.25" customHeight="1">
      <c r="A870" s="28"/>
      <c r="B870" s="28"/>
      <c r="C870" s="28"/>
      <c r="D870" s="28"/>
      <c r="E870" s="28"/>
      <c r="F870" s="2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</row>
    <row r="871" spans="1:24" ht="14.25" customHeight="1">
      <c r="A871" s="28"/>
      <c r="B871" s="28"/>
      <c r="C871" s="28"/>
      <c r="D871" s="28"/>
      <c r="E871" s="28"/>
      <c r="F871" s="2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</row>
    <row r="872" spans="1:24" ht="14.25" customHeight="1">
      <c r="A872" s="28"/>
      <c r="B872" s="28"/>
      <c r="C872" s="28"/>
      <c r="D872" s="28"/>
      <c r="E872" s="28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</row>
    <row r="873" spans="1:24" ht="14.25" customHeight="1">
      <c r="A873" s="28"/>
      <c r="B873" s="28"/>
      <c r="C873" s="28"/>
      <c r="D873" s="28"/>
      <c r="E873" s="28"/>
      <c r="F873" s="2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</row>
    <row r="874" spans="1:24" ht="14.25" customHeight="1">
      <c r="A874" s="28"/>
      <c r="B874" s="28"/>
      <c r="C874" s="28"/>
      <c r="D874" s="28"/>
      <c r="E874" s="28"/>
      <c r="F874" s="28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</row>
    <row r="875" spans="1:24" ht="14.25" customHeight="1">
      <c r="A875" s="28"/>
      <c r="B875" s="28"/>
      <c r="C875" s="28"/>
      <c r="D875" s="28"/>
      <c r="E875" s="28"/>
      <c r="F875" s="28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</row>
    <row r="876" spans="1:24" ht="14.25" customHeight="1">
      <c r="A876" s="28"/>
      <c r="B876" s="28"/>
      <c r="C876" s="28"/>
      <c r="D876" s="28"/>
      <c r="E876" s="28"/>
      <c r="F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</row>
    <row r="877" spans="1:24" ht="14.25" customHeight="1">
      <c r="A877" s="28"/>
      <c r="B877" s="28"/>
      <c r="C877" s="28"/>
      <c r="D877" s="28"/>
      <c r="E877" s="28"/>
      <c r="F877" s="28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</row>
    <row r="878" spans="1:24" ht="14.25" customHeight="1">
      <c r="A878" s="28"/>
      <c r="B878" s="28"/>
      <c r="C878" s="28"/>
      <c r="D878" s="28"/>
      <c r="E878" s="28"/>
      <c r="F878" s="28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</row>
    <row r="879" spans="1:24" ht="14.25" customHeight="1">
      <c r="A879" s="28"/>
      <c r="B879" s="28"/>
      <c r="C879" s="28"/>
      <c r="D879" s="28"/>
      <c r="E879" s="28"/>
      <c r="F879" s="28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</row>
    <row r="880" spans="1:24" ht="14.25" customHeight="1">
      <c r="A880" s="28"/>
      <c r="B880" s="28"/>
      <c r="C880" s="28"/>
      <c r="D880" s="28"/>
      <c r="E880" s="28"/>
      <c r="F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</row>
    <row r="881" spans="1:24" ht="14.25" customHeight="1">
      <c r="A881" s="28"/>
      <c r="B881" s="28"/>
      <c r="C881" s="28"/>
      <c r="D881" s="28"/>
      <c r="E881" s="28"/>
      <c r="F881" s="28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</row>
    <row r="882" spans="1:24" ht="14.25" customHeight="1">
      <c r="A882" s="28"/>
      <c r="B882" s="28"/>
      <c r="C882" s="28"/>
      <c r="D882" s="28"/>
      <c r="E882" s="28"/>
      <c r="F882" s="28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</row>
    <row r="883" spans="1:24" ht="14.25" customHeight="1">
      <c r="A883" s="28"/>
      <c r="B883" s="28"/>
      <c r="C883" s="28"/>
      <c r="D883" s="28"/>
      <c r="E883" s="28"/>
      <c r="F883" s="28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</row>
    <row r="884" spans="1:24" ht="14.25" customHeight="1">
      <c r="A884" s="28"/>
      <c r="B884" s="28"/>
      <c r="C884" s="28"/>
      <c r="D884" s="28"/>
      <c r="E884" s="28"/>
      <c r="F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</row>
    <row r="885" spans="1:24" ht="14.25" customHeight="1">
      <c r="A885" s="28"/>
      <c r="B885" s="28"/>
      <c r="C885" s="28"/>
      <c r="D885" s="28"/>
      <c r="E885" s="28"/>
      <c r="F885" s="28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</row>
    <row r="886" spans="1:24" ht="14.25" customHeight="1">
      <c r="A886" s="28"/>
      <c r="B886" s="28"/>
      <c r="C886" s="28"/>
      <c r="D886" s="28"/>
      <c r="E886" s="28"/>
      <c r="F886" s="28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</row>
    <row r="887" spans="1:24" ht="14.25" customHeight="1">
      <c r="A887" s="28"/>
      <c r="B887" s="28"/>
      <c r="C887" s="28"/>
      <c r="D887" s="28"/>
      <c r="E887" s="28"/>
      <c r="F887" s="28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</row>
    <row r="888" spans="1:24" ht="14.25" customHeight="1">
      <c r="A888" s="28"/>
      <c r="B888" s="28"/>
      <c r="C888" s="28"/>
      <c r="D888" s="28"/>
      <c r="E888" s="28"/>
      <c r="F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</row>
    <row r="889" spans="1:24" ht="14.25" customHeight="1">
      <c r="A889" s="28"/>
      <c r="B889" s="28"/>
      <c r="C889" s="28"/>
      <c r="D889" s="28"/>
      <c r="E889" s="28"/>
      <c r="F889" s="28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</row>
    <row r="890" spans="1:24" ht="14.25" customHeight="1">
      <c r="A890" s="28"/>
      <c r="B890" s="28"/>
      <c r="C890" s="28"/>
      <c r="D890" s="28"/>
      <c r="E890" s="28"/>
      <c r="F890" s="28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</row>
    <row r="891" spans="1:24" ht="14.25" customHeight="1">
      <c r="A891" s="28"/>
      <c r="B891" s="28"/>
      <c r="C891" s="28"/>
      <c r="D891" s="28"/>
      <c r="E891" s="28"/>
      <c r="F891" s="28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</row>
    <row r="892" spans="1:24" ht="14.25" customHeight="1">
      <c r="A892" s="28"/>
      <c r="B892" s="28"/>
      <c r="C892" s="28"/>
      <c r="D892" s="28"/>
      <c r="E892" s="28"/>
      <c r="F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</row>
    <row r="893" spans="1:24" ht="14.25" customHeight="1">
      <c r="A893" s="28"/>
      <c r="B893" s="28"/>
      <c r="C893" s="28"/>
      <c r="D893" s="28"/>
      <c r="E893" s="28"/>
      <c r="F893" s="28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</row>
    <row r="894" spans="1:24" ht="14.25" customHeight="1">
      <c r="A894" s="28"/>
      <c r="B894" s="28"/>
      <c r="C894" s="28"/>
      <c r="D894" s="28"/>
      <c r="E894" s="28"/>
      <c r="F894" s="28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</row>
    <row r="895" spans="1:24" ht="14.25" customHeight="1">
      <c r="A895" s="28"/>
      <c r="B895" s="28"/>
      <c r="C895" s="28"/>
      <c r="D895" s="28"/>
      <c r="E895" s="28"/>
      <c r="F895" s="28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</row>
    <row r="896" spans="1:24" ht="14.25" customHeight="1">
      <c r="A896" s="28"/>
      <c r="B896" s="28"/>
      <c r="C896" s="28"/>
      <c r="D896" s="28"/>
      <c r="E896" s="28"/>
      <c r="F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</row>
    <row r="897" spans="1:24" ht="14.25" customHeight="1">
      <c r="A897" s="28"/>
      <c r="B897" s="28"/>
      <c r="C897" s="28"/>
      <c r="D897" s="28"/>
      <c r="E897" s="28"/>
      <c r="F897" s="28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</row>
    <row r="898" spans="1:24" ht="14.25" customHeight="1">
      <c r="A898" s="28"/>
      <c r="B898" s="28"/>
      <c r="C898" s="28"/>
      <c r="D898" s="28"/>
      <c r="E898" s="28"/>
      <c r="F898" s="28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</row>
    <row r="899" spans="1:24" ht="14.25" customHeight="1">
      <c r="A899" s="28"/>
      <c r="B899" s="28"/>
      <c r="C899" s="28"/>
      <c r="D899" s="28"/>
      <c r="E899" s="28"/>
      <c r="F899" s="28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</row>
    <row r="900" spans="1:24" ht="14.25" customHeight="1">
      <c r="A900" s="28"/>
      <c r="B900" s="28"/>
      <c r="C900" s="28"/>
      <c r="D900" s="28"/>
      <c r="E900" s="28"/>
      <c r="F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</row>
    <row r="901" spans="1:24" ht="14.25" customHeight="1">
      <c r="A901" s="28"/>
      <c r="B901" s="28"/>
      <c r="C901" s="28"/>
      <c r="D901" s="28"/>
      <c r="E901" s="28"/>
      <c r="F901" s="28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</row>
    <row r="902" spans="1:24" ht="14.25" customHeight="1">
      <c r="A902" s="28"/>
      <c r="B902" s="28"/>
      <c r="C902" s="28"/>
      <c r="D902" s="28"/>
      <c r="E902" s="28"/>
      <c r="F902" s="28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</row>
    <row r="903" spans="1:24" ht="14.25" customHeight="1">
      <c r="A903" s="28"/>
      <c r="B903" s="28"/>
      <c r="C903" s="28"/>
      <c r="D903" s="28"/>
      <c r="E903" s="28"/>
      <c r="F903" s="28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</row>
    <row r="904" spans="1:24" ht="14.25" customHeight="1">
      <c r="A904" s="28"/>
      <c r="B904" s="28"/>
      <c r="C904" s="28"/>
      <c r="D904" s="28"/>
      <c r="E904" s="28"/>
      <c r="F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</row>
    <row r="905" spans="1:24" ht="14.25" customHeight="1">
      <c r="A905" s="28"/>
      <c r="B905" s="28"/>
      <c r="C905" s="28"/>
      <c r="D905" s="28"/>
      <c r="E905" s="28"/>
      <c r="F905" s="28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</row>
    <row r="906" spans="1:24" ht="14.25" customHeight="1">
      <c r="A906" s="28"/>
      <c r="B906" s="28"/>
      <c r="C906" s="28"/>
      <c r="D906" s="28"/>
      <c r="E906" s="28"/>
      <c r="F906" s="28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</row>
    <row r="907" spans="1:24" ht="14.25" customHeight="1">
      <c r="A907" s="28"/>
      <c r="B907" s="28"/>
      <c r="C907" s="28"/>
      <c r="D907" s="28"/>
      <c r="E907" s="28"/>
      <c r="F907" s="28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</row>
    <row r="908" spans="1:24" ht="14.25" customHeight="1">
      <c r="A908" s="28"/>
      <c r="B908" s="28"/>
      <c r="C908" s="28"/>
      <c r="D908" s="28"/>
      <c r="E908" s="28"/>
      <c r="F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</row>
    <row r="909" spans="1:24" ht="14.25" customHeight="1">
      <c r="A909" s="28"/>
      <c r="B909" s="28"/>
      <c r="C909" s="28"/>
      <c r="D909" s="28"/>
      <c r="E909" s="28"/>
      <c r="F909" s="28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</row>
    <row r="910" spans="1:24" ht="14.25" customHeight="1">
      <c r="A910" s="28"/>
      <c r="B910" s="28"/>
      <c r="C910" s="28"/>
      <c r="D910" s="28"/>
      <c r="E910" s="28"/>
      <c r="F910" s="28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</row>
    <row r="911" spans="1:24" ht="14.25" customHeight="1">
      <c r="A911" s="28"/>
      <c r="B911" s="28"/>
      <c r="C911" s="28"/>
      <c r="D911" s="28"/>
      <c r="E911" s="28"/>
      <c r="F911" s="28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</row>
    <row r="912" spans="1:24" ht="14.25" customHeight="1">
      <c r="A912" s="28"/>
      <c r="B912" s="28"/>
      <c r="C912" s="28"/>
      <c r="D912" s="28"/>
      <c r="E912" s="28"/>
      <c r="F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</row>
    <row r="913" spans="1:24" ht="14.25" customHeight="1">
      <c r="A913" s="28"/>
      <c r="B913" s="28"/>
      <c r="C913" s="28"/>
      <c r="D913" s="28"/>
      <c r="E913" s="28"/>
      <c r="F913" s="28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</row>
    <row r="914" spans="1:24" ht="14.25" customHeight="1">
      <c r="A914" s="28"/>
      <c r="B914" s="28"/>
      <c r="C914" s="28"/>
      <c r="D914" s="28"/>
      <c r="E914" s="28"/>
      <c r="F914" s="28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</row>
    <row r="915" spans="1:24" ht="14.25" customHeight="1">
      <c r="A915" s="28"/>
      <c r="B915" s="28"/>
      <c r="C915" s="28"/>
      <c r="D915" s="28"/>
      <c r="E915" s="28"/>
      <c r="F915" s="28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</row>
    <row r="916" spans="1:24" ht="14.25" customHeight="1">
      <c r="A916" s="28"/>
      <c r="B916" s="28"/>
      <c r="C916" s="28"/>
      <c r="D916" s="28"/>
      <c r="E916" s="28"/>
      <c r="F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</row>
    <row r="917" spans="1:24" ht="14.25" customHeight="1">
      <c r="A917" s="28"/>
      <c r="B917" s="28"/>
      <c r="C917" s="28"/>
      <c r="D917" s="28"/>
      <c r="E917" s="28"/>
      <c r="F917" s="28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</row>
    <row r="918" spans="1:24" ht="14.25" customHeight="1">
      <c r="A918" s="28"/>
      <c r="B918" s="28"/>
      <c r="C918" s="28"/>
      <c r="D918" s="28"/>
      <c r="E918" s="28"/>
      <c r="F918" s="28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</row>
    <row r="919" spans="1:24" ht="14.25" customHeight="1">
      <c r="A919" s="28"/>
      <c r="B919" s="28"/>
      <c r="C919" s="28"/>
      <c r="D919" s="28"/>
      <c r="E919" s="28"/>
      <c r="F919" s="28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</row>
    <row r="920" spans="1:24" ht="14.25" customHeight="1">
      <c r="A920" s="28"/>
      <c r="B920" s="28"/>
      <c r="C920" s="28"/>
      <c r="D920" s="28"/>
      <c r="E920" s="28"/>
      <c r="F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</row>
    <row r="921" spans="1:24" ht="14.25" customHeight="1">
      <c r="A921" s="28"/>
      <c r="B921" s="28"/>
      <c r="C921" s="28"/>
      <c r="D921" s="28"/>
      <c r="E921" s="28"/>
      <c r="F921" s="28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</row>
    <row r="922" spans="1:24" ht="14.25" customHeight="1">
      <c r="A922" s="28"/>
      <c r="B922" s="28"/>
      <c r="C922" s="28"/>
      <c r="D922" s="28"/>
      <c r="E922" s="28"/>
      <c r="F922" s="28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</row>
    <row r="923" spans="1:24" ht="14.25" customHeight="1">
      <c r="A923" s="28"/>
      <c r="B923" s="28"/>
      <c r="C923" s="28"/>
      <c r="D923" s="28"/>
      <c r="E923" s="28"/>
      <c r="F923" s="28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</row>
    <row r="924" spans="1:24" ht="14.25" customHeight="1">
      <c r="A924" s="28"/>
      <c r="B924" s="28"/>
      <c r="C924" s="28"/>
      <c r="D924" s="28"/>
      <c r="E924" s="28"/>
      <c r="F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</row>
    <row r="925" spans="1:24" ht="14.25" customHeight="1">
      <c r="A925" s="28"/>
      <c r="B925" s="28"/>
      <c r="C925" s="28"/>
      <c r="D925" s="28"/>
      <c r="E925" s="28"/>
      <c r="F925" s="28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</row>
    <row r="926" spans="1:24" ht="14.25" customHeight="1">
      <c r="A926" s="28"/>
      <c r="B926" s="28"/>
      <c r="C926" s="28"/>
      <c r="D926" s="28"/>
      <c r="E926" s="28"/>
      <c r="F926" s="28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</row>
    <row r="927" spans="1:24" ht="14.25" customHeight="1">
      <c r="A927" s="28"/>
      <c r="B927" s="28"/>
      <c r="C927" s="28"/>
      <c r="D927" s="28"/>
      <c r="E927" s="28"/>
      <c r="F927" s="28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</row>
    <row r="928" spans="1:24" ht="14.25" customHeight="1">
      <c r="A928" s="28"/>
      <c r="B928" s="28"/>
      <c r="C928" s="28"/>
      <c r="D928" s="28"/>
      <c r="E928" s="28"/>
      <c r="F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</row>
    <row r="929" spans="1:24" ht="14.25" customHeight="1">
      <c r="A929" s="28"/>
      <c r="B929" s="28"/>
      <c r="C929" s="28"/>
      <c r="D929" s="28"/>
      <c r="E929" s="28"/>
      <c r="F929" s="28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</row>
    <row r="930" spans="1:24" ht="14.25" customHeight="1">
      <c r="A930" s="28"/>
      <c r="B930" s="28"/>
      <c r="C930" s="28"/>
      <c r="D930" s="28"/>
      <c r="E930" s="28"/>
      <c r="F930" s="28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</row>
    <row r="931" spans="1:24" ht="14.25" customHeight="1">
      <c r="A931" s="28"/>
      <c r="B931" s="28"/>
      <c r="C931" s="28"/>
      <c r="D931" s="28"/>
      <c r="E931" s="28"/>
      <c r="F931" s="28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</row>
    <row r="932" spans="1:24" ht="14.25" customHeight="1">
      <c r="A932" s="28"/>
      <c r="B932" s="28"/>
      <c r="C932" s="28"/>
      <c r="D932" s="28"/>
      <c r="E932" s="28"/>
      <c r="F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</row>
    <row r="933" spans="1:24" ht="14.25" customHeight="1">
      <c r="A933" s="28"/>
      <c r="B933" s="28"/>
      <c r="C933" s="28"/>
      <c r="D933" s="28"/>
      <c r="E933" s="28"/>
      <c r="F933" s="28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</row>
    <row r="934" spans="1:24" ht="14.25" customHeight="1">
      <c r="A934" s="28"/>
      <c r="B934" s="28"/>
      <c r="C934" s="28"/>
      <c r="D934" s="28"/>
      <c r="E934" s="28"/>
      <c r="F934" s="28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</row>
    <row r="935" spans="1:24" ht="14.25" customHeight="1">
      <c r="A935" s="28"/>
      <c r="B935" s="28"/>
      <c r="C935" s="28"/>
      <c r="D935" s="28"/>
      <c r="E935" s="28"/>
      <c r="F935" s="28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</row>
    <row r="936" spans="1:24" ht="14.25" customHeight="1">
      <c r="A936" s="28"/>
      <c r="B936" s="28"/>
      <c r="C936" s="28"/>
      <c r="D936" s="28"/>
      <c r="E936" s="28"/>
      <c r="F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</row>
    <row r="937" spans="1:24" ht="14.25" customHeight="1">
      <c r="A937" s="28"/>
      <c r="B937" s="28"/>
      <c r="C937" s="28"/>
      <c r="D937" s="28"/>
      <c r="E937" s="28"/>
      <c r="F937" s="28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</row>
    <row r="938" spans="1:24" ht="14.25" customHeight="1">
      <c r="A938" s="28"/>
      <c r="B938" s="28"/>
      <c r="C938" s="28"/>
      <c r="D938" s="28"/>
      <c r="E938" s="28"/>
      <c r="F938" s="28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</row>
    <row r="939" spans="1:24" ht="14.25" customHeight="1">
      <c r="A939" s="28"/>
      <c r="B939" s="28"/>
      <c r="C939" s="28"/>
      <c r="D939" s="28"/>
      <c r="E939" s="28"/>
      <c r="F939" s="28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</row>
    <row r="940" spans="1:24" ht="14.25" customHeight="1">
      <c r="A940" s="28"/>
      <c r="B940" s="28"/>
      <c r="C940" s="28"/>
      <c r="D940" s="28"/>
      <c r="E940" s="28"/>
      <c r="F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</row>
    <row r="941" spans="1:24" ht="14.25" customHeight="1">
      <c r="A941" s="28"/>
      <c r="B941" s="28"/>
      <c r="C941" s="28"/>
      <c r="D941" s="28"/>
      <c r="E941" s="28"/>
      <c r="F941" s="28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</row>
    <row r="942" spans="1:24" ht="14.25" customHeight="1">
      <c r="A942" s="28"/>
      <c r="B942" s="28"/>
      <c r="C942" s="28"/>
      <c r="D942" s="28"/>
      <c r="E942" s="28"/>
      <c r="F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</row>
    <row r="943" spans="1:24" ht="14.25" customHeight="1">
      <c r="A943" s="28"/>
      <c r="B943" s="28"/>
      <c r="C943" s="28"/>
      <c r="D943" s="28"/>
      <c r="E943" s="28"/>
      <c r="F943" s="28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</row>
    <row r="944" spans="1:24" ht="14.25" customHeight="1">
      <c r="A944" s="28"/>
      <c r="B944" s="28"/>
      <c r="C944" s="28"/>
      <c r="D944" s="28"/>
      <c r="E944" s="28"/>
      <c r="F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</row>
    <row r="945" spans="1:24" ht="14.25" customHeight="1">
      <c r="A945" s="28"/>
      <c r="B945" s="28"/>
      <c r="C945" s="28"/>
      <c r="D945" s="28"/>
      <c r="E945" s="28"/>
      <c r="F945" s="28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</row>
    <row r="946" spans="1:24" ht="14.25" customHeight="1">
      <c r="A946" s="28"/>
      <c r="B946" s="28"/>
      <c r="C946" s="28"/>
      <c r="D946" s="28"/>
      <c r="E946" s="28"/>
      <c r="F946" s="28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</row>
    <row r="947" spans="1:24" ht="14.25" customHeight="1">
      <c r="A947" s="28"/>
      <c r="B947" s="28"/>
      <c r="C947" s="28"/>
      <c r="D947" s="28"/>
      <c r="E947" s="28"/>
      <c r="F947" s="2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</row>
    <row r="948" spans="1:24" ht="14.25" customHeight="1">
      <c r="A948" s="28"/>
      <c r="B948" s="28"/>
      <c r="C948" s="28"/>
      <c r="D948" s="28"/>
      <c r="E948" s="28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</row>
    <row r="949" spans="1:24" ht="14.25" customHeight="1">
      <c r="A949" s="28"/>
      <c r="B949" s="28"/>
      <c r="C949" s="28"/>
      <c r="D949" s="28"/>
      <c r="E949" s="28"/>
      <c r="F949" s="2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</row>
    <row r="950" spans="1:24" ht="14.25" customHeight="1">
      <c r="A950" s="28"/>
      <c r="B950" s="28"/>
      <c r="C950" s="28"/>
      <c r="D950" s="28"/>
      <c r="E950" s="28"/>
      <c r="F950" s="2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</row>
    <row r="951" spans="1:24" ht="14.25" customHeight="1">
      <c r="A951" s="28"/>
      <c r="B951" s="28"/>
      <c r="C951" s="28"/>
      <c r="D951" s="28"/>
      <c r="E951" s="28"/>
      <c r="F951" s="2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</row>
    <row r="952" spans="1:24" ht="14.25" customHeight="1">
      <c r="A952" s="28"/>
      <c r="B952" s="28"/>
      <c r="C952" s="28"/>
      <c r="D952" s="28"/>
      <c r="E952" s="28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</row>
    <row r="953" spans="1:24" ht="14.25" customHeight="1">
      <c r="A953" s="28"/>
      <c r="B953" s="28"/>
      <c r="C953" s="28"/>
      <c r="D953" s="28"/>
      <c r="E953" s="28"/>
      <c r="F953" s="2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</row>
    <row r="954" spans="1:24" ht="14.25" customHeight="1">
      <c r="A954" s="28"/>
      <c r="B954" s="28"/>
      <c r="C954" s="28"/>
      <c r="D954" s="28"/>
      <c r="E954" s="28"/>
      <c r="F954" s="2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</row>
    <row r="955" spans="1:24" ht="14.25" customHeight="1">
      <c r="A955" s="28"/>
      <c r="B955" s="28"/>
      <c r="C955" s="28"/>
      <c r="D955" s="28"/>
      <c r="E955" s="28"/>
      <c r="F955" s="2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</row>
    <row r="956" spans="1:24" ht="14.25" customHeight="1">
      <c r="A956" s="28"/>
      <c r="B956" s="28"/>
      <c r="C956" s="28"/>
      <c r="D956" s="28"/>
      <c r="E956" s="28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</row>
    <row r="957" spans="1:24" ht="14.25" customHeight="1">
      <c r="A957" s="28"/>
      <c r="B957" s="28"/>
      <c r="C957" s="28"/>
      <c r="D957" s="28"/>
      <c r="E957" s="28"/>
      <c r="F957" s="2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</row>
    <row r="958" spans="1:24" ht="14.25" customHeight="1">
      <c r="A958" s="28"/>
      <c r="B958" s="28"/>
      <c r="C958" s="28"/>
      <c r="D958" s="28"/>
      <c r="E958" s="28"/>
      <c r="F958" s="2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</row>
    <row r="959" spans="1:24" ht="14.25" customHeight="1">
      <c r="A959" s="28"/>
      <c r="B959" s="28"/>
      <c r="C959" s="28"/>
      <c r="D959" s="28"/>
      <c r="E959" s="28"/>
      <c r="F959" s="2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</row>
    <row r="960" spans="1:24" ht="14.25" customHeight="1">
      <c r="A960" s="28"/>
      <c r="B960" s="28"/>
      <c r="C960" s="28"/>
      <c r="D960" s="28"/>
      <c r="E960" s="28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</row>
    <row r="961" spans="1:24" ht="14.25" customHeight="1">
      <c r="A961" s="28"/>
      <c r="B961" s="28"/>
      <c r="C961" s="28"/>
      <c r="D961" s="28"/>
      <c r="E961" s="28"/>
      <c r="F961" s="2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</row>
    <row r="962" spans="1:24" ht="14.25" customHeight="1">
      <c r="A962" s="28"/>
      <c r="B962" s="28"/>
      <c r="C962" s="28"/>
      <c r="D962" s="28"/>
      <c r="E962" s="28"/>
      <c r="F962" s="2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</row>
    <row r="963" spans="1:24" ht="14.25" customHeight="1">
      <c r="A963" s="28"/>
      <c r="B963" s="28"/>
      <c r="C963" s="28"/>
      <c r="D963" s="28"/>
      <c r="E963" s="28"/>
      <c r="F963" s="28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</row>
    <row r="964" spans="1:24" ht="14.25" customHeight="1">
      <c r="A964" s="28"/>
      <c r="B964" s="28"/>
      <c r="C964" s="28"/>
      <c r="D964" s="28"/>
      <c r="E964" s="28"/>
      <c r="F964" s="28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</row>
    <row r="965" spans="1:24" ht="14.25" customHeight="1">
      <c r="A965" s="28"/>
      <c r="B965" s="28"/>
      <c r="C965" s="28"/>
      <c r="D965" s="28"/>
      <c r="E965" s="28"/>
      <c r="F965" s="28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</row>
    <row r="966" spans="1:24" ht="14.25" customHeight="1">
      <c r="A966" s="28"/>
      <c r="B966" s="28"/>
      <c r="C966" s="28"/>
      <c r="D966" s="28"/>
      <c r="E966" s="28"/>
      <c r="F966" s="28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</row>
    <row r="967" spans="1:24" ht="14.25" customHeight="1">
      <c r="A967" s="28"/>
      <c r="B967" s="28"/>
      <c r="C967" s="28"/>
      <c r="D967" s="28"/>
      <c r="E967" s="28"/>
      <c r="F967" s="28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</row>
    <row r="968" spans="1:24" ht="14.25" customHeight="1">
      <c r="A968" s="28"/>
      <c r="B968" s="28"/>
      <c r="C968" s="28"/>
      <c r="D968" s="28"/>
      <c r="E968" s="28"/>
      <c r="F968" s="28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</row>
    <row r="969" spans="1:24" ht="14.25" customHeight="1">
      <c r="A969" s="28"/>
      <c r="B969" s="28"/>
      <c r="C969" s="28"/>
      <c r="D969" s="28"/>
      <c r="E969" s="28"/>
      <c r="F969" s="28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</row>
    <row r="970" spans="1:24" ht="14.25" customHeight="1">
      <c r="A970" s="28"/>
      <c r="B970" s="28"/>
      <c r="C970" s="28"/>
      <c r="D970" s="28"/>
      <c r="E970" s="28"/>
      <c r="F970" s="28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</row>
    <row r="971" spans="1:24" ht="14.25" customHeight="1">
      <c r="A971" s="28"/>
      <c r="B971" s="28"/>
      <c r="C971" s="28"/>
      <c r="D971" s="28"/>
      <c r="E971" s="28"/>
      <c r="F971" s="28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</row>
    <row r="972" spans="1:24" ht="14.25" customHeight="1">
      <c r="A972" s="28"/>
      <c r="B972" s="28"/>
      <c r="C972" s="28"/>
      <c r="D972" s="28"/>
      <c r="E972" s="28"/>
      <c r="F972" s="28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</row>
    <row r="973" spans="1:24" ht="14.25" customHeight="1">
      <c r="A973" s="28"/>
      <c r="B973" s="28"/>
      <c r="C973" s="28"/>
      <c r="D973" s="28"/>
      <c r="E973" s="28"/>
      <c r="F973" s="28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</row>
    <row r="974" spans="1:24" ht="14.25" customHeight="1">
      <c r="A974" s="28"/>
      <c r="B974" s="28"/>
      <c r="C974" s="28"/>
      <c r="D974" s="28"/>
      <c r="E974" s="28"/>
      <c r="F974" s="28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</row>
    <row r="975" spans="1:24" ht="14.25" customHeight="1">
      <c r="A975" s="28"/>
      <c r="B975" s="28"/>
      <c r="C975" s="28"/>
      <c r="D975" s="28"/>
      <c r="E975" s="28"/>
      <c r="F975" s="28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</row>
    <row r="976" spans="1:24" ht="14.25" customHeight="1">
      <c r="A976" s="28"/>
      <c r="B976" s="28"/>
      <c r="C976" s="28"/>
      <c r="D976" s="28"/>
      <c r="E976" s="28"/>
      <c r="F976" s="28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</row>
    <row r="977" spans="1:24" ht="14.25" customHeight="1">
      <c r="A977" s="28"/>
      <c r="B977" s="28"/>
      <c r="C977" s="28"/>
      <c r="D977" s="28"/>
      <c r="E977" s="28"/>
      <c r="F977" s="28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</row>
    <row r="978" spans="1:24" ht="14.25" customHeight="1">
      <c r="A978" s="28"/>
      <c r="B978" s="28"/>
      <c r="C978" s="28"/>
      <c r="D978" s="28"/>
      <c r="E978" s="28"/>
      <c r="F978" s="28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</row>
    <row r="979" spans="1:24" ht="14.25" customHeight="1">
      <c r="A979" s="28"/>
      <c r="B979" s="28"/>
      <c r="C979" s="28"/>
      <c r="D979" s="28"/>
      <c r="E979" s="28"/>
      <c r="F979" s="28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</row>
    <row r="980" spans="1:24" ht="14.25" customHeight="1">
      <c r="A980" s="28"/>
      <c r="B980" s="28"/>
      <c r="C980" s="28"/>
      <c r="D980" s="28"/>
      <c r="E980" s="28"/>
      <c r="F980" s="28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</row>
    <row r="981" spans="1:24" ht="14.25" customHeight="1">
      <c r="A981" s="28"/>
      <c r="B981" s="28"/>
      <c r="C981" s="28"/>
      <c r="D981" s="28"/>
      <c r="E981" s="28"/>
      <c r="F981" s="28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</row>
    <row r="982" spans="1:24" ht="14.25" customHeight="1">
      <c r="A982" s="28"/>
      <c r="B982" s="28"/>
      <c r="C982" s="28"/>
      <c r="D982" s="28"/>
      <c r="E982" s="28"/>
      <c r="F982" s="28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</row>
    <row r="983" spans="1:24" ht="14.25" customHeight="1">
      <c r="A983" s="28"/>
      <c r="B983" s="28"/>
      <c r="C983" s="28"/>
      <c r="D983" s="28"/>
      <c r="E983" s="28"/>
      <c r="F983" s="28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</row>
    <row r="984" spans="1:24" ht="14.25" customHeight="1">
      <c r="A984" s="28"/>
      <c r="B984" s="28"/>
      <c r="C984" s="28"/>
      <c r="D984" s="28"/>
      <c r="E984" s="28"/>
      <c r="F984" s="28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</row>
    <row r="985" spans="1:24" ht="14.25" customHeight="1">
      <c r="A985" s="28"/>
      <c r="B985" s="28"/>
      <c r="C985" s="28"/>
      <c r="D985" s="28"/>
      <c r="E985" s="28"/>
      <c r="F985" s="28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</row>
    <row r="986" spans="1:24" ht="14.25" customHeight="1">
      <c r="A986" s="28"/>
      <c r="B986" s="28"/>
      <c r="C986" s="28"/>
      <c r="D986" s="28"/>
      <c r="E986" s="28"/>
      <c r="F986" s="28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</row>
    <row r="987" spans="1:24" ht="14.25" customHeight="1">
      <c r="A987" s="28"/>
      <c r="B987" s="28"/>
      <c r="C987" s="28"/>
      <c r="D987" s="28"/>
      <c r="E987" s="28"/>
      <c r="F987" s="28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</row>
    <row r="988" spans="1:24" ht="14.25" customHeight="1">
      <c r="A988" s="28"/>
      <c r="B988" s="28"/>
      <c r="C988" s="28"/>
      <c r="D988" s="28"/>
      <c r="E988" s="28"/>
      <c r="F988" s="28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</row>
    <row r="989" spans="1:24" ht="14.25" customHeight="1">
      <c r="A989" s="28"/>
      <c r="B989" s="28"/>
      <c r="C989" s="28"/>
      <c r="D989" s="28"/>
      <c r="E989" s="28"/>
      <c r="F989" s="28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</row>
    <row r="990" spans="1:24" ht="14.25" customHeight="1">
      <c r="A990" s="28"/>
      <c r="B990" s="28"/>
      <c r="C990" s="28"/>
      <c r="D990" s="28"/>
      <c r="E990" s="28"/>
      <c r="F990" s="28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</row>
    <row r="991" spans="1:24" ht="14.25" customHeight="1">
      <c r="A991" s="28"/>
      <c r="B991" s="28"/>
      <c r="C991" s="28"/>
      <c r="D991" s="28"/>
      <c r="E991" s="28"/>
      <c r="F991" s="28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</row>
    <row r="992" spans="1:24" ht="14.25" customHeight="1">
      <c r="A992" s="28"/>
      <c r="B992" s="28"/>
      <c r="C992" s="28"/>
      <c r="D992" s="28"/>
      <c r="E992" s="28"/>
      <c r="F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</row>
    <row r="993" spans="1:24" ht="14.25" customHeight="1">
      <c r="A993" s="28"/>
      <c r="B993" s="28"/>
      <c r="C993" s="28"/>
      <c r="D993" s="28"/>
      <c r="E993" s="28"/>
      <c r="F993" s="28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</row>
    <row r="994" spans="1:24" ht="14.25" customHeight="1">
      <c r="A994" s="28"/>
      <c r="B994" s="28"/>
      <c r="C994" s="28"/>
      <c r="D994" s="28"/>
      <c r="E994" s="28"/>
      <c r="F994" s="28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</row>
    <row r="995" spans="1:24" ht="14.25" customHeight="1">
      <c r="A995" s="28"/>
      <c r="B995" s="28"/>
      <c r="C995" s="28"/>
      <c r="D995" s="28"/>
      <c r="E995" s="28"/>
      <c r="F995" s="28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</row>
    <row r="996" spans="1:24" ht="14.25" customHeight="1">
      <c r="A996" s="28"/>
      <c r="B996" s="28"/>
      <c r="C996" s="28"/>
      <c r="D996" s="28"/>
      <c r="E996" s="28"/>
      <c r="F996" s="28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</row>
    <row r="997" spans="1:24" ht="14.25" customHeight="1">
      <c r="A997" s="28"/>
      <c r="B997" s="28"/>
      <c r="C997" s="28"/>
      <c r="D997" s="28"/>
      <c r="E997" s="28"/>
      <c r="F997" s="28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</row>
    <row r="998" spans="1:24" ht="14.25" customHeight="1">
      <c r="A998" s="28"/>
      <c r="B998" s="28"/>
      <c r="C998" s="28"/>
      <c r="D998" s="28"/>
      <c r="E998" s="28"/>
      <c r="F998" s="28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</row>
    <row r="999" spans="1:24" ht="14.25" customHeight="1">
      <c r="A999" s="28"/>
      <c r="B999" s="28"/>
      <c r="C999" s="28"/>
      <c r="D999" s="28"/>
      <c r="E999" s="28"/>
      <c r="F999" s="28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</row>
    <row r="1000" spans="1:24" ht="14.25" customHeight="1">
      <c r="A1000" s="28"/>
      <c r="B1000" s="28"/>
      <c r="C1000" s="28"/>
      <c r="D1000" s="28"/>
      <c r="E1000" s="28"/>
      <c r="F1000" s="28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"/>
  <sheetViews>
    <sheetView zoomScale="175" zoomScaleNormal="175" workbookViewId="0">
      <selection activeCell="J8" sqref="J8"/>
    </sheetView>
  </sheetViews>
  <sheetFormatPr defaultColWidth="8.77734375" defaultRowHeight="14.4"/>
  <cols>
    <col min="9" max="9" width="10.77734375"/>
  </cols>
  <sheetData>
    <row r="1" spans="1:11">
      <c r="A1">
        <v>1</v>
      </c>
      <c r="G1">
        <v>21</v>
      </c>
    </row>
    <row r="2" spans="1:11">
      <c r="A2">
        <v>2</v>
      </c>
      <c r="G2">
        <v>22</v>
      </c>
    </row>
    <row r="3" spans="1:11">
      <c r="A3">
        <v>3</v>
      </c>
      <c r="D3" t="s">
        <v>560</v>
      </c>
      <c r="E3" t="s">
        <v>561</v>
      </c>
      <c r="F3" t="s">
        <v>562</v>
      </c>
      <c r="G3">
        <v>23</v>
      </c>
      <c r="I3" s="21">
        <v>46164</v>
      </c>
      <c r="K3" t="s">
        <v>30</v>
      </c>
    </row>
    <row r="4" spans="1:11">
      <c r="A4">
        <v>4</v>
      </c>
      <c r="D4" t="s">
        <v>563</v>
      </c>
      <c r="E4" t="s">
        <v>564</v>
      </c>
      <c r="F4" t="s">
        <v>565</v>
      </c>
      <c r="G4">
        <v>24</v>
      </c>
      <c r="I4" s="21">
        <v>46165</v>
      </c>
      <c r="K4" t="s">
        <v>30</v>
      </c>
    </row>
    <row r="5" spans="1:11">
      <c r="A5">
        <v>5</v>
      </c>
      <c r="D5" t="s">
        <v>566</v>
      </c>
      <c r="E5" t="s">
        <v>567</v>
      </c>
      <c r="F5" t="s">
        <v>568</v>
      </c>
      <c r="G5">
        <v>25</v>
      </c>
      <c r="I5" s="21">
        <v>46166</v>
      </c>
      <c r="K5" t="s">
        <v>30</v>
      </c>
    </row>
    <row r="6" spans="1:11">
      <c r="A6">
        <v>6</v>
      </c>
      <c r="D6" t="s">
        <v>569</v>
      </c>
      <c r="E6" t="s">
        <v>570</v>
      </c>
      <c r="F6" t="s">
        <v>571</v>
      </c>
      <c r="G6">
        <v>26</v>
      </c>
      <c r="I6" s="21">
        <v>46167</v>
      </c>
      <c r="K6" t="s">
        <v>30</v>
      </c>
    </row>
    <row r="7" spans="1:11">
      <c r="A7">
        <v>7</v>
      </c>
      <c r="D7" t="s">
        <v>572</v>
      </c>
      <c r="E7" t="s">
        <v>573</v>
      </c>
      <c r="F7" t="s">
        <v>573</v>
      </c>
      <c r="G7">
        <v>27</v>
      </c>
      <c r="I7" s="21">
        <v>46168</v>
      </c>
      <c r="K7" t="s">
        <v>30</v>
      </c>
    </row>
    <row r="8" spans="1:11">
      <c r="A8">
        <v>8</v>
      </c>
      <c r="D8" t="s">
        <v>574</v>
      </c>
      <c r="E8" t="s">
        <v>575</v>
      </c>
      <c r="F8" t="s">
        <v>576</v>
      </c>
      <c r="G8">
        <v>28</v>
      </c>
      <c r="I8" s="21">
        <v>46169</v>
      </c>
      <c r="K8" t="s">
        <v>30</v>
      </c>
    </row>
    <row r="9" spans="1:11">
      <c r="A9">
        <v>9</v>
      </c>
      <c r="D9" t="s">
        <v>577</v>
      </c>
      <c r="E9" t="s">
        <v>578</v>
      </c>
      <c r="F9" t="s">
        <v>579</v>
      </c>
      <c r="G9">
        <v>29</v>
      </c>
      <c r="I9" s="21">
        <v>46170</v>
      </c>
      <c r="K9" t="s">
        <v>30</v>
      </c>
    </row>
    <row r="10" spans="1:11">
      <c r="A10">
        <v>10</v>
      </c>
      <c r="D10" t="s">
        <v>560</v>
      </c>
      <c r="E10" t="s">
        <v>580</v>
      </c>
      <c r="F10" t="s">
        <v>581</v>
      </c>
      <c r="G10">
        <v>30</v>
      </c>
      <c r="I10" s="21">
        <v>46171</v>
      </c>
      <c r="K10" t="s">
        <v>30</v>
      </c>
    </row>
    <row r="11" spans="1:11">
      <c r="A11">
        <v>11</v>
      </c>
      <c r="D11" t="s">
        <v>563</v>
      </c>
      <c r="E11" t="s">
        <v>582</v>
      </c>
      <c r="F11" t="s">
        <v>583</v>
      </c>
      <c r="G11">
        <v>31</v>
      </c>
      <c r="I11" s="21">
        <v>46172</v>
      </c>
      <c r="K11" t="s">
        <v>30</v>
      </c>
    </row>
    <row r="12" spans="1:11">
      <c r="A12">
        <v>12</v>
      </c>
      <c r="D12" t="s">
        <v>566</v>
      </c>
      <c r="E12" t="s">
        <v>584</v>
      </c>
      <c r="F12" t="s">
        <v>585</v>
      </c>
      <c r="I12" s="21">
        <v>46173</v>
      </c>
      <c r="K12" t="s">
        <v>30</v>
      </c>
    </row>
    <row r="13" spans="1:11">
      <c r="D13" t="s">
        <v>569</v>
      </c>
      <c r="E13" t="s">
        <v>586</v>
      </c>
      <c r="F13" t="s">
        <v>587</v>
      </c>
      <c r="I13" s="21">
        <v>46174</v>
      </c>
    </row>
    <row r="14" spans="1:11">
      <c r="D14" t="s">
        <v>572</v>
      </c>
      <c r="E14" t="s">
        <v>588</v>
      </c>
      <c r="F14" t="s">
        <v>589</v>
      </c>
      <c r="I14" s="21">
        <v>46175</v>
      </c>
    </row>
    <row r="15" spans="1:11">
      <c r="D15" t="s">
        <v>574</v>
      </c>
      <c r="E15" t="s">
        <v>561</v>
      </c>
      <c r="F15" t="s">
        <v>562</v>
      </c>
      <c r="I15" s="21">
        <v>46176</v>
      </c>
    </row>
    <row r="16" spans="1:11">
      <c r="E16" t="s">
        <v>564</v>
      </c>
      <c r="F16" t="s">
        <v>565</v>
      </c>
      <c r="I16" s="21">
        <v>46177</v>
      </c>
    </row>
    <row r="17" spans="5:9">
      <c r="E17" t="s">
        <v>567</v>
      </c>
      <c r="I17" s="21">
        <v>46178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2"/>
  <sheetViews>
    <sheetView zoomScale="190" zoomScaleNormal="190" workbookViewId="0">
      <selection activeCell="E9" sqref="E9"/>
    </sheetView>
  </sheetViews>
  <sheetFormatPr defaultColWidth="8.77734375" defaultRowHeight="14.4"/>
  <cols>
    <col min="1" max="1" width="13.88671875" customWidth="1"/>
    <col min="4" max="4" width="18.44140625" customWidth="1"/>
    <col min="5" max="5" width="9.44140625"/>
    <col min="8" max="8" width="12.77734375"/>
  </cols>
  <sheetData>
    <row r="1" spans="2:9">
      <c r="B1" s="2" t="s">
        <v>2</v>
      </c>
      <c r="C1" s="2" t="s">
        <v>3</v>
      </c>
      <c r="H1" s="22">
        <v>0.05</v>
      </c>
      <c r="I1" s="23">
        <v>0.05</v>
      </c>
    </row>
    <row r="2" spans="2:9">
      <c r="B2" s="5" t="s">
        <v>15</v>
      </c>
      <c r="C2" s="5">
        <v>713.49</v>
      </c>
      <c r="D2">
        <f>C2+100</f>
        <v>813.49</v>
      </c>
      <c r="E2">
        <f>D2*$H$1</f>
        <v>40.674500000000002</v>
      </c>
      <c r="F2" t="str">
        <f>_xlfn.FORMULATEXT(E2)</f>
        <v>=D2*$H$1</v>
      </c>
    </row>
    <row r="3" spans="2:9">
      <c r="B3" s="10" t="s">
        <v>21</v>
      </c>
      <c r="C3" s="10">
        <v>3802.97</v>
      </c>
      <c r="D3">
        <f>C3+100</f>
        <v>3902.97</v>
      </c>
      <c r="E3">
        <f>D3*$H$1</f>
        <v>195.14850000000001</v>
      </c>
    </row>
    <row r="4" spans="2:9">
      <c r="B4" s="5" t="s">
        <v>28</v>
      </c>
      <c r="C4" s="5">
        <v>3588.97</v>
      </c>
      <c r="D4">
        <f>C4+100</f>
        <v>3688.97</v>
      </c>
      <c r="E4">
        <f>D4*$H$1</f>
        <v>184.4485</v>
      </c>
    </row>
    <row r="6" spans="2:9">
      <c r="D6" s="24"/>
    </row>
    <row r="8" spans="2:9">
      <c r="E8">
        <v>1</v>
      </c>
      <c r="F8">
        <v>2</v>
      </c>
      <c r="G8">
        <v>3</v>
      </c>
      <c r="H8">
        <v>4</v>
      </c>
    </row>
    <row r="9" spans="2:9">
      <c r="D9">
        <v>1</v>
      </c>
      <c r="E9">
        <f t="shared" ref="E9:H12" si="0">E$8*$D9</f>
        <v>1</v>
      </c>
      <c r="F9">
        <f t="shared" si="0"/>
        <v>2</v>
      </c>
      <c r="G9">
        <f t="shared" si="0"/>
        <v>3</v>
      </c>
      <c r="H9">
        <f t="shared" si="0"/>
        <v>4</v>
      </c>
    </row>
    <row r="10" spans="2:9">
      <c r="D10">
        <v>2</v>
      </c>
      <c r="E10">
        <f t="shared" si="0"/>
        <v>2</v>
      </c>
      <c r="F10">
        <f t="shared" si="0"/>
        <v>4</v>
      </c>
      <c r="G10">
        <f t="shared" si="0"/>
        <v>6</v>
      </c>
      <c r="H10">
        <f t="shared" si="0"/>
        <v>8</v>
      </c>
    </row>
    <row r="11" spans="2:9">
      <c r="D11">
        <v>3</v>
      </c>
      <c r="E11">
        <f t="shared" si="0"/>
        <v>3</v>
      </c>
      <c r="F11">
        <f t="shared" si="0"/>
        <v>6</v>
      </c>
      <c r="G11">
        <f t="shared" si="0"/>
        <v>9</v>
      </c>
      <c r="H11">
        <f t="shared" si="0"/>
        <v>12</v>
      </c>
    </row>
    <row r="12" spans="2:9">
      <c r="D12">
        <v>4</v>
      </c>
      <c r="E12">
        <f t="shared" si="0"/>
        <v>4</v>
      </c>
      <c r="F12">
        <f t="shared" si="0"/>
        <v>8</v>
      </c>
      <c r="G12">
        <f t="shared" si="0"/>
        <v>12</v>
      </c>
      <c r="H12">
        <f t="shared" si="0"/>
        <v>16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99"/>
  <sheetViews>
    <sheetView topLeftCell="A484" zoomScale="130" zoomScaleNormal="130" workbookViewId="0">
      <selection sqref="A1:L499"/>
    </sheetView>
  </sheetViews>
  <sheetFormatPr defaultColWidth="8.77734375" defaultRowHeight="14.4"/>
  <sheetData>
    <row r="1" spans="1:12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2" t="s">
        <v>11</v>
      </c>
    </row>
    <row r="2" spans="1:12">
      <c r="A2" s="4" t="s">
        <v>13</v>
      </c>
      <c r="B2" s="5" t="s">
        <v>14</v>
      </c>
      <c r="C2" s="5" t="s">
        <v>15</v>
      </c>
      <c r="D2" s="5">
        <v>713.49</v>
      </c>
      <c r="E2" s="5">
        <v>0.31</v>
      </c>
      <c r="F2" s="5">
        <v>3</v>
      </c>
      <c r="G2" s="7">
        <v>45015</v>
      </c>
      <c r="H2" s="7">
        <v>45017</v>
      </c>
      <c r="I2" s="5" t="s">
        <v>16</v>
      </c>
      <c r="J2" s="5" t="s">
        <v>17</v>
      </c>
      <c r="K2" s="5">
        <v>114.72</v>
      </c>
      <c r="L2" s="8" t="s">
        <v>18</v>
      </c>
    </row>
    <row r="3" spans="1:12">
      <c r="A3" s="9" t="s">
        <v>19</v>
      </c>
      <c r="B3" s="10" t="s">
        <v>20</v>
      </c>
      <c r="C3" s="10" t="s">
        <v>21</v>
      </c>
      <c r="D3" s="10">
        <v>3802.97</v>
      </c>
      <c r="E3" s="10">
        <v>0.38</v>
      </c>
      <c r="F3" s="10">
        <v>4</v>
      </c>
      <c r="G3" s="12">
        <v>45166</v>
      </c>
      <c r="H3" s="12">
        <v>45172</v>
      </c>
      <c r="I3" s="10" t="s">
        <v>22</v>
      </c>
      <c r="J3" s="10" t="s">
        <v>23</v>
      </c>
      <c r="K3" s="10">
        <v>971.41</v>
      </c>
      <c r="L3" s="13" t="s">
        <v>24</v>
      </c>
    </row>
    <row r="4" spans="1:12">
      <c r="A4" s="4" t="s">
        <v>26</v>
      </c>
      <c r="B4" s="5" t="s">
        <v>27</v>
      </c>
      <c r="C4" s="5" t="s">
        <v>28</v>
      </c>
      <c r="D4" s="5">
        <v>3588.97</v>
      </c>
      <c r="E4" s="5">
        <v>0.1</v>
      </c>
      <c r="F4" s="5">
        <v>7</v>
      </c>
      <c r="G4" s="7">
        <v>45360</v>
      </c>
      <c r="H4" s="7">
        <v>45366</v>
      </c>
      <c r="I4" s="5" t="s">
        <v>22</v>
      </c>
      <c r="J4" s="5" t="s">
        <v>29</v>
      </c>
      <c r="K4" s="5">
        <v>769.08</v>
      </c>
      <c r="L4" s="8" t="s">
        <v>30</v>
      </c>
    </row>
    <row r="5" spans="1:12">
      <c r="A5" s="9" t="s">
        <v>34</v>
      </c>
      <c r="B5" s="10" t="s">
        <v>35</v>
      </c>
      <c r="C5" s="10" t="s">
        <v>21</v>
      </c>
      <c r="D5" s="10">
        <v>1160.8599999999999</v>
      </c>
      <c r="E5" s="10">
        <v>0.27</v>
      </c>
      <c r="F5" s="10">
        <v>5</v>
      </c>
      <c r="G5" s="12">
        <v>45578</v>
      </c>
      <c r="H5" s="12">
        <v>45584</v>
      </c>
      <c r="I5" s="10" t="s">
        <v>16</v>
      </c>
      <c r="J5" s="10" t="s">
        <v>17</v>
      </c>
      <c r="K5" s="10">
        <v>71.61</v>
      </c>
      <c r="L5" s="14" t="s">
        <v>36</v>
      </c>
    </row>
    <row r="6" spans="1:12">
      <c r="A6" s="4" t="s">
        <v>41</v>
      </c>
      <c r="B6" s="5" t="s">
        <v>14</v>
      </c>
      <c r="C6" s="5" t="s">
        <v>21</v>
      </c>
      <c r="D6" s="5">
        <v>3071.32</v>
      </c>
      <c r="E6" s="5">
        <v>0</v>
      </c>
      <c r="F6" s="5">
        <v>7</v>
      </c>
      <c r="G6" s="7">
        <v>45022</v>
      </c>
      <c r="H6" s="7">
        <v>45025</v>
      </c>
      <c r="I6" s="5" t="s">
        <v>42</v>
      </c>
      <c r="J6" s="5" t="s">
        <v>29</v>
      </c>
      <c r="K6" s="5">
        <v>621.91999999999996</v>
      </c>
      <c r="L6" s="8" t="s">
        <v>18</v>
      </c>
    </row>
    <row r="7" spans="1:12">
      <c r="A7" s="9" t="s">
        <v>46</v>
      </c>
      <c r="B7" s="10" t="s">
        <v>20</v>
      </c>
      <c r="C7" s="10" t="s">
        <v>47</v>
      </c>
      <c r="D7" s="10">
        <v>2566.1799999999998</v>
      </c>
      <c r="E7" s="10">
        <v>0.02</v>
      </c>
      <c r="F7" s="10">
        <v>6</v>
      </c>
      <c r="G7" s="12">
        <v>45108</v>
      </c>
      <c r="H7" s="12">
        <v>45111</v>
      </c>
      <c r="I7" s="10" t="s">
        <v>16</v>
      </c>
      <c r="J7" s="10" t="s">
        <v>17</v>
      </c>
      <c r="K7" s="10">
        <v>578.94000000000005</v>
      </c>
      <c r="L7" s="13" t="s">
        <v>37</v>
      </c>
    </row>
    <row r="8" spans="1:12">
      <c r="A8" s="4" t="s">
        <v>51</v>
      </c>
      <c r="B8" s="5" t="s">
        <v>27</v>
      </c>
      <c r="C8" s="5" t="s">
        <v>52</v>
      </c>
      <c r="D8" s="5">
        <v>398</v>
      </c>
      <c r="E8" s="5">
        <v>0.16</v>
      </c>
      <c r="F8" s="5">
        <v>4</v>
      </c>
      <c r="G8" s="7">
        <v>45119</v>
      </c>
      <c r="H8" s="7">
        <v>45124</v>
      </c>
      <c r="I8" s="5" t="s">
        <v>42</v>
      </c>
      <c r="J8" s="5" t="s">
        <v>29</v>
      </c>
      <c r="K8" s="5">
        <v>110.31</v>
      </c>
      <c r="L8" s="8" t="s">
        <v>18</v>
      </c>
    </row>
    <row r="9" spans="1:12">
      <c r="A9" s="9" t="s">
        <v>53</v>
      </c>
      <c r="B9" s="10" t="s">
        <v>35</v>
      </c>
      <c r="C9" s="10" t="s">
        <v>52</v>
      </c>
      <c r="D9" s="10">
        <v>1462.95</v>
      </c>
      <c r="E9" s="10">
        <v>0.23</v>
      </c>
      <c r="F9" s="10">
        <v>2</v>
      </c>
      <c r="G9" s="12">
        <v>45064</v>
      </c>
      <c r="H9" s="12">
        <v>45066</v>
      </c>
      <c r="I9" s="10" t="s">
        <v>22</v>
      </c>
      <c r="J9" s="10" t="s">
        <v>17</v>
      </c>
      <c r="K9" s="10">
        <v>91.68</v>
      </c>
      <c r="L9" s="13" t="s">
        <v>54</v>
      </c>
    </row>
    <row r="10" spans="1:12">
      <c r="A10" s="4" t="s">
        <v>55</v>
      </c>
      <c r="B10" s="5" t="s">
        <v>14</v>
      </c>
      <c r="C10" s="5" t="s">
        <v>52</v>
      </c>
      <c r="D10" s="5">
        <v>4997.47</v>
      </c>
      <c r="E10" s="5">
        <v>0.28999999999999998</v>
      </c>
      <c r="F10" s="5">
        <v>6</v>
      </c>
      <c r="G10" s="15">
        <v>45296</v>
      </c>
      <c r="H10" s="7">
        <v>45299</v>
      </c>
      <c r="I10" s="5" t="s">
        <v>22</v>
      </c>
      <c r="J10" s="5" t="s">
        <v>23</v>
      </c>
      <c r="K10" s="5">
        <v>995.78</v>
      </c>
      <c r="L10" s="8" t="s">
        <v>56</v>
      </c>
    </row>
    <row r="11" spans="1:12">
      <c r="A11" s="9" t="s">
        <v>57</v>
      </c>
      <c r="B11" s="10" t="s">
        <v>20</v>
      </c>
      <c r="C11" s="10" t="s">
        <v>47</v>
      </c>
      <c r="D11" s="10">
        <v>587.72</v>
      </c>
      <c r="E11" s="10">
        <v>0.44</v>
      </c>
      <c r="F11" s="10">
        <v>6</v>
      </c>
      <c r="G11" s="12">
        <v>45514</v>
      </c>
      <c r="H11" s="12">
        <v>45521</v>
      </c>
      <c r="I11" s="10" t="s">
        <v>42</v>
      </c>
      <c r="J11" s="10" t="s">
        <v>29</v>
      </c>
      <c r="K11" s="10">
        <v>102.96</v>
      </c>
      <c r="L11" s="13" t="s">
        <v>24</v>
      </c>
    </row>
    <row r="12" spans="1:12">
      <c r="A12" s="4" t="s">
        <v>58</v>
      </c>
      <c r="B12" s="5" t="s">
        <v>27</v>
      </c>
      <c r="C12" s="5" t="s">
        <v>15</v>
      </c>
      <c r="D12" s="5">
        <v>2581.42</v>
      </c>
      <c r="E12" s="5">
        <v>0.39</v>
      </c>
      <c r="F12" s="5">
        <v>6</v>
      </c>
      <c r="G12" s="7">
        <v>45419</v>
      </c>
      <c r="H12" s="7">
        <v>45420</v>
      </c>
      <c r="I12" s="5" t="s">
        <v>22</v>
      </c>
      <c r="J12" s="5" t="s">
        <v>29</v>
      </c>
      <c r="K12" s="5">
        <v>542.82000000000005</v>
      </c>
      <c r="L12" s="8" t="s">
        <v>59</v>
      </c>
    </row>
    <row r="13" spans="1:12">
      <c r="A13" s="9" t="s">
        <v>60</v>
      </c>
      <c r="B13" s="10" t="s">
        <v>35</v>
      </c>
      <c r="C13" s="10" t="s">
        <v>15</v>
      </c>
      <c r="D13" s="10">
        <v>4261.74</v>
      </c>
      <c r="E13" s="10">
        <v>0.15</v>
      </c>
      <c r="F13" s="10">
        <v>1</v>
      </c>
      <c r="G13" s="12">
        <v>45171</v>
      </c>
      <c r="H13" s="12">
        <v>45172</v>
      </c>
      <c r="I13" s="10" t="s">
        <v>42</v>
      </c>
      <c r="J13" s="10" t="s">
        <v>17</v>
      </c>
      <c r="K13" s="10">
        <v>1028.47</v>
      </c>
      <c r="L13" s="13" t="s">
        <v>56</v>
      </c>
    </row>
    <row r="14" spans="1:12">
      <c r="A14" s="4" t="s">
        <v>61</v>
      </c>
      <c r="B14" s="5" t="s">
        <v>14</v>
      </c>
      <c r="C14" s="5" t="s">
        <v>28</v>
      </c>
      <c r="D14" s="5">
        <v>1573.19</v>
      </c>
      <c r="E14" s="5">
        <v>0.37</v>
      </c>
      <c r="F14" s="5">
        <v>6</v>
      </c>
      <c r="G14" s="7">
        <v>45331</v>
      </c>
      <c r="H14" s="7">
        <v>45338</v>
      </c>
      <c r="I14" s="5" t="s">
        <v>42</v>
      </c>
      <c r="J14" s="5" t="s">
        <v>29</v>
      </c>
      <c r="K14" s="5">
        <v>131.5</v>
      </c>
      <c r="L14" s="8" t="s">
        <v>36</v>
      </c>
    </row>
    <row r="15" spans="1:12">
      <c r="A15" s="9" t="s">
        <v>62</v>
      </c>
      <c r="B15" s="10" t="s">
        <v>20</v>
      </c>
      <c r="C15" s="10" t="s">
        <v>15</v>
      </c>
      <c r="D15" s="10">
        <v>1377.47</v>
      </c>
      <c r="E15" s="10">
        <v>0.27</v>
      </c>
      <c r="F15" s="10">
        <v>2</v>
      </c>
      <c r="G15" s="12">
        <v>45074</v>
      </c>
      <c r="H15" s="12">
        <v>45075</v>
      </c>
      <c r="I15" s="10" t="s">
        <v>16</v>
      </c>
      <c r="J15" s="10" t="s">
        <v>29</v>
      </c>
      <c r="K15" s="10">
        <v>255.49</v>
      </c>
      <c r="L15" s="13" t="s">
        <v>63</v>
      </c>
    </row>
    <row r="16" spans="1:12">
      <c r="A16" s="4" t="s">
        <v>65</v>
      </c>
      <c r="B16" s="5" t="s">
        <v>27</v>
      </c>
      <c r="C16" s="5" t="s">
        <v>15</v>
      </c>
      <c r="D16" s="5">
        <v>4464.8900000000003</v>
      </c>
      <c r="E16" s="5">
        <v>0.39</v>
      </c>
      <c r="F16" s="5">
        <v>5</v>
      </c>
      <c r="G16" s="7">
        <v>45296</v>
      </c>
      <c r="H16" s="7">
        <v>45303</v>
      </c>
      <c r="I16" s="5" t="s">
        <v>22</v>
      </c>
      <c r="J16" s="5" t="s">
        <v>17</v>
      </c>
      <c r="K16" s="5">
        <v>804.36</v>
      </c>
      <c r="L16" s="8" t="s">
        <v>54</v>
      </c>
    </row>
    <row r="17" spans="1:12">
      <c r="A17" s="9" t="s">
        <v>67</v>
      </c>
      <c r="B17" s="10" t="s">
        <v>35</v>
      </c>
      <c r="C17" s="10" t="s">
        <v>52</v>
      </c>
      <c r="D17" s="10">
        <v>1593.67</v>
      </c>
      <c r="E17" s="10">
        <v>0.21</v>
      </c>
      <c r="F17" s="10">
        <v>7</v>
      </c>
      <c r="G17" s="12">
        <v>45583</v>
      </c>
      <c r="H17" s="12">
        <v>45587</v>
      </c>
      <c r="I17" s="10" t="s">
        <v>16</v>
      </c>
      <c r="J17" s="10" t="s">
        <v>23</v>
      </c>
      <c r="K17" s="10">
        <v>284.91000000000003</v>
      </c>
      <c r="L17" s="13" t="s">
        <v>56</v>
      </c>
    </row>
    <row r="18" spans="1:12">
      <c r="A18" s="4" t="s">
        <v>69</v>
      </c>
      <c r="B18" s="5" t="s">
        <v>14</v>
      </c>
      <c r="C18" s="5" t="s">
        <v>21</v>
      </c>
      <c r="D18" s="5">
        <v>3292.32</v>
      </c>
      <c r="E18" s="5">
        <v>0.05</v>
      </c>
      <c r="F18" s="5">
        <v>1</v>
      </c>
      <c r="G18" s="7">
        <v>45042</v>
      </c>
      <c r="H18" s="7">
        <v>45043</v>
      </c>
      <c r="I18" s="5" t="s">
        <v>16</v>
      </c>
      <c r="J18" s="5" t="s">
        <v>23</v>
      </c>
      <c r="K18" s="5">
        <v>504.83</v>
      </c>
      <c r="L18" s="8" t="s">
        <v>70</v>
      </c>
    </row>
    <row r="19" spans="1:12">
      <c r="A19" s="9" t="s">
        <v>72</v>
      </c>
      <c r="B19" s="10" t="s">
        <v>20</v>
      </c>
      <c r="C19" s="10" t="s">
        <v>15</v>
      </c>
      <c r="D19" s="10">
        <v>3727.53</v>
      </c>
      <c r="E19" s="10">
        <v>0.31</v>
      </c>
      <c r="F19" s="10">
        <v>5</v>
      </c>
      <c r="G19" s="12">
        <v>45228</v>
      </c>
      <c r="H19" s="12">
        <v>45235</v>
      </c>
      <c r="I19" s="10" t="s">
        <v>22</v>
      </c>
      <c r="J19" s="10" t="s">
        <v>23</v>
      </c>
      <c r="K19" s="10">
        <v>978.07</v>
      </c>
      <c r="L19" s="13" t="s">
        <v>59</v>
      </c>
    </row>
    <row r="20" spans="1:12">
      <c r="A20" s="4" t="s">
        <v>73</v>
      </c>
      <c r="B20" s="5" t="s">
        <v>27</v>
      </c>
      <c r="C20" s="5" t="s">
        <v>15</v>
      </c>
      <c r="D20" s="5">
        <v>3964.23</v>
      </c>
      <c r="E20" s="5">
        <v>0.28000000000000003</v>
      </c>
      <c r="F20" s="5">
        <v>9</v>
      </c>
      <c r="G20" s="7">
        <v>45448</v>
      </c>
      <c r="H20" s="7">
        <v>45451</v>
      </c>
      <c r="I20" s="5" t="s">
        <v>16</v>
      </c>
      <c r="J20" s="5" t="s">
        <v>17</v>
      </c>
      <c r="K20" s="5">
        <v>260.95</v>
      </c>
      <c r="L20" s="8" t="s">
        <v>74</v>
      </c>
    </row>
    <row r="21" spans="1:12">
      <c r="A21" s="9" t="s">
        <v>75</v>
      </c>
      <c r="B21" s="10" t="s">
        <v>35</v>
      </c>
      <c r="C21" s="10" t="s">
        <v>47</v>
      </c>
      <c r="D21" s="10">
        <v>4974.32</v>
      </c>
      <c r="E21" s="10">
        <v>0.48</v>
      </c>
      <c r="F21" s="10">
        <v>3</v>
      </c>
      <c r="G21" s="12">
        <v>45047</v>
      </c>
      <c r="H21" s="12">
        <v>45051</v>
      </c>
      <c r="I21" s="10" t="s">
        <v>22</v>
      </c>
      <c r="J21" s="10" t="s">
        <v>23</v>
      </c>
      <c r="K21" s="10">
        <v>727.29</v>
      </c>
      <c r="L21" s="13" t="s">
        <v>54</v>
      </c>
    </row>
    <row r="22" spans="1:12">
      <c r="A22" s="4" t="s">
        <v>76</v>
      </c>
      <c r="B22" s="5" t="s">
        <v>14</v>
      </c>
      <c r="C22" s="5" t="s">
        <v>28</v>
      </c>
      <c r="D22" s="5">
        <v>4035.64</v>
      </c>
      <c r="E22" s="5">
        <v>0.08</v>
      </c>
      <c r="F22" s="5">
        <v>2</v>
      </c>
      <c r="G22" s="7">
        <v>45586</v>
      </c>
      <c r="H22" s="7">
        <v>45593</v>
      </c>
      <c r="I22" s="5" t="s">
        <v>22</v>
      </c>
      <c r="J22" s="5" t="s">
        <v>29</v>
      </c>
      <c r="K22" s="5">
        <v>798.81</v>
      </c>
      <c r="L22" s="8" t="s">
        <v>77</v>
      </c>
    </row>
    <row r="23" spans="1:12">
      <c r="A23" s="9" t="s">
        <v>78</v>
      </c>
      <c r="B23" s="10" t="s">
        <v>20</v>
      </c>
      <c r="C23" s="10" t="s">
        <v>47</v>
      </c>
      <c r="D23" s="10">
        <v>3319.36</v>
      </c>
      <c r="E23" s="10">
        <v>0.33</v>
      </c>
      <c r="F23" s="10">
        <v>2</v>
      </c>
      <c r="G23" s="12">
        <v>45153</v>
      </c>
      <c r="H23" s="12">
        <v>45159</v>
      </c>
      <c r="I23" s="10" t="s">
        <v>16</v>
      </c>
      <c r="J23" s="10" t="s">
        <v>29</v>
      </c>
      <c r="K23" s="10">
        <v>920.22</v>
      </c>
      <c r="L23" s="13" t="s">
        <v>54</v>
      </c>
    </row>
    <row r="24" spans="1:12">
      <c r="A24" s="4" t="s">
        <v>79</v>
      </c>
      <c r="B24" s="5" t="s">
        <v>27</v>
      </c>
      <c r="C24" s="5" t="s">
        <v>52</v>
      </c>
      <c r="D24" s="5">
        <v>4487.7700000000004</v>
      </c>
      <c r="E24" s="5">
        <v>0.24</v>
      </c>
      <c r="F24" s="5">
        <v>3</v>
      </c>
      <c r="G24" s="7">
        <v>45657</v>
      </c>
      <c r="H24" s="7">
        <v>45659</v>
      </c>
      <c r="I24" s="5" t="s">
        <v>22</v>
      </c>
      <c r="J24" s="5" t="s">
        <v>23</v>
      </c>
      <c r="K24" s="5">
        <v>931.37</v>
      </c>
      <c r="L24" s="8" t="s">
        <v>56</v>
      </c>
    </row>
    <row r="25" spans="1:12">
      <c r="A25" s="9" t="s">
        <v>80</v>
      </c>
      <c r="B25" s="10" t="s">
        <v>35</v>
      </c>
      <c r="C25" s="10" t="s">
        <v>21</v>
      </c>
      <c r="D25" s="10">
        <v>4538.1499999999996</v>
      </c>
      <c r="E25" s="10">
        <v>0.19</v>
      </c>
      <c r="F25" s="10">
        <v>1</v>
      </c>
      <c r="G25" s="12">
        <v>45005</v>
      </c>
      <c r="H25" s="12">
        <v>45008</v>
      </c>
      <c r="I25" s="10" t="s">
        <v>22</v>
      </c>
      <c r="J25" s="10" t="s">
        <v>29</v>
      </c>
      <c r="K25" s="10">
        <v>375.7</v>
      </c>
      <c r="L25" s="13" t="s">
        <v>37</v>
      </c>
    </row>
    <row r="26" spans="1:12">
      <c r="A26" s="4" t="s">
        <v>81</v>
      </c>
      <c r="B26" s="5" t="s">
        <v>14</v>
      </c>
      <c r="C26" s="5" t="s">
        <v>28</v>
      </c>
      <c r="D26" s="5">
        <v>4868.5200000000004</v>
      </c>
      <c r="E26" s="5">
        <v>0.4</v>
      </c>
      <c r="F26" s="5">
        <v>2</v>
      </c>
      <c r="G26" s="7">
        <v>45272</v>
      </c>
      <c r="H26" s="7">
        <v>45273</v>
      </c>
      <c r="I26" s="5" t="s">
        <v>22</v>
      </c>
      <c r="J26" s="5" t="s">
        <v>29</v>
      </c>
      <c r="K26" s="5">
        <v>1072.26</v>
      </c>
      <c r="L26" s="8" t="s">
        <v>82</v>
      </c>
    </row>
    <row r="27" spans="1:12">
      <c r="A27" s="9" t="s">
        <v>83</v>
      </c>
      <c r="B27" s="10" t="s">
        <v>20</v>
      </c>
      <c r="C27" s="10" t="s">
        <v>47</v>
      </c>
      <c r="D27" s="10">
        <v>3904.68</v>
      </c>
      <c r="E27" s="10">
        <v>0.41</v>
      </c>
      <c r="F27" s="10">
        <v>6</v>
      </c>
      <c r="G27" s="12">
        <v>45066</v>
      </c>
      <c r="H27" s="12">
        <v>45072</v>
      </c>
      <c r="I27" s="10" t="s">
        <v>22</v>
      </c>
      <c r="J27" s="10" t="s">
        <v>23</v>
      </c>
      <c r="K27" s="10">
        <v>526.66</v>
      </c>
      <c r="L27" s="13" t="s">
        <v>84</v>
      </c>
    </row>
    <row r="28" spans="1:12">
      <c r="A28" s="4" t="s">
        <v>85</v>
      </c>
      <c r="B28" s="5" t="s">
        <v>27</v>
      </c>
      <c r="C28" s="5" t="s">
        <v>15</v>
      </c>
      <c r="D28" s="5">
        <v>1055.1400000000001</v>
      </c>
      <c r="E28" s="5">
        <v>0.36</v>
      </c>
      <c r="F28" s="5">
        <v>8</v>
      </c>
      <c r="G28" s="7">
        <v>45462</v>
      </c>
      <c r="H28" s="7">
        <v>45468</v>
      </c>
      <c r="I28" s="5" t="s">
        <v>16</v>
      </c>
      <c r="J28" s="5" t="s">
        <v>17</v>
      </c>
      <c r="K28" s="5">
        <v>207.61</v>
      </c>
      <c r="L28" s="8" t="s">
        <v>77</v>
      </c>
    </row>
    <row r="29" spans="1:12">
      <c r="A29" s="9" t="s">
        <v>86</v>
      </c>
      <c r="B29" s="10" t="s">
        <v>35</v>
      </c>
      <c r="C29" s="10" t="s">
        <v>15</v>
      </c>
      <c r="D29" s="10">
        <v>3578.05</v>
      </c>
      <c r="E29" s="10">
        <v>0.04</v>
      </c>
      <c r="F29" s="10">
        <v>4</v>
      </c>
      <c r="G29" s="12">
        <v>45215</v>
      </c>
      <c r="H29" s="12">
        <v>45217</v>
      </c>
      <c r="I29" s="10" t="s">
        <v>42</v>
      </c>
      <c r="J29" s="10" t="s">
        <v>23</v>
      </c>
      <c r="K29" s="10">
        <v>689.74</v>
      </c>
      <c r="L29" s="13" t="s">
        <v>87</v>
      </c>
    </row>
    <row r="30" spans="1:12">
      <c r="A30" s="4" t="s">
        <v>88</v>
      </c>
      <c r="B30" s="5" t="s">
        <v>14</v>
      </c>
      <c r="C30" s="5" t="s">
        <v>28</v>
      </c>
      <c r="D30" s="5">
        <v>468.13</v>
      </c>
      <c r="E30" s="5">
        <v>0.17</v>
      </c>
      <c r="F30" s="5">
        <v>2</v>
      </c>
      <c r="G30" s="7">
        <v>45255</v>
      </c>
      <c r="H30" s="7">
        <v>45261</v>
      </c>
      <c r="I30" s="5" t="s">
        <v>16</v>
      </c>
      <c r="J30" s="5" t="s">
        <v>17</v>
      </c>
      <c r="K30" s="5">
        <v>43.58</v>
      </c>
      <c r="L30" s="8" t="s">
        <v>56</v>
      </c>
    </row>
    <row r="31" spans="1:12">
      <c r="A31" s="9" t="s">
        <v>89</v>
      </c>
      <c r="B31" s="10" t="s">
        <v>20</v>
      </c>
      <c r="C31" s="10" t="s">
        <v>15</v>
      </c>
      <c r="D31" s="10">
        <v>1658.02</v>
      </c>
      <c r="E31" s="10">
        <v>0.02</v>
      </c>
      <c r="F31" s="10">
        <v>5</v>
      </c>
      <c r="G31" s="12">
        <v>45356</v>
      </c>
      <c r="H31" s="12">
        <v>45357</v>
      </c>
      <c r="I31" s="10" t="s">
        <v>42</v>
      </c>
      <c r="J31" s="10" t="s">
        <v>29</v>
      </c>
      <c r="K31" s="10">
        <v>422.33</v>
      </c>
      <c r="L31" s="13" t="s">
        <v>37</v>
      </c>
    </row>
    <row r="32" spans="1:12">
      <c r="A32" s="4" t="s">
        <v>90</v>
      </c>
      <c r="B32" s="5" t="s">
        <v>27</v>
      </c>
      <c r="C32" s="5" t="s">
        <v>47</v>
      </c>
      <c r="D32" s="5">
        <v>667.46</v>
      </c>
      <c r="E32" s="5">
        <v>0.17</v>
      </c>
      <c r="F32" s="5">
        <v>3</v>
      </c>
      <c r="G32" s="7">
        <v>45026</v>
      </c>
      <c r="H32" s="7">
        <v>45031</v>
      </c>
      <c r="I32" s="5" t="s">
        <v>42</v>
      </c>
      <c r="J32" s="5" t="s">
        <v>23</v>
      </c>
      <c r="K32" s="5">
        <v>123.49</v>
      </c>
      <c r="L32" s="8" t="s">
        <v>87</v>
      </c>
    </row>
    <row r="33" spans="1:12">
      <c r="A33" s="9" t="s">
        <v>91</v>
      </c>
      <c r="B33" s="10" t="s">
        <v>35</v>
      </c>
      <c r="C33" s="10" t="s">
        <v>47</v>
      </c>
      <c r="D33" s="10">
        <v>4754.72</v>
      </c>
      <c r="E33" s="10">
        <v>0.32</v>
      </c>
      <c r="F33" s="10">
        <v>5</v>
      </c>
      <c r="G33" s="12">
        <v>45527</v>
      </c>
      <c r="H33" s="12">
        <v>45531</v>
      </c>
      <c r="I33" s="10" t="s">
        <v>42</v>
      </c>
      <c r="J33" s="10" t="s">
        <v>29</v>
      </c>
      <c r="K33" s="10">
        <v>697.03</v>
      </c>
      <c r="L33" s="13" t="s">
        <v>18</v>
      </c>
    </row>
    <row r="34" spans="1:12">
      <c r="A34" s="4" t="s">
        <v>92</v>
      </c>
      <c r="B34" s="5" t="s">
        <v>14</v>
      </c>
      <c r="C34" s="5" t="s">
        <v>15</v>
      </c>
      <c r="D34" s="5">
        <v>1759.9</v>
      </c>
      <c r="E34" s="5">
        <v>0.26</v>
      </c>
      <c r="F34" s="5">
        <v>3</v>
      </c>
      <c r="G34" s="7">
        <v>44933</v>
      </c>
      <c r="H34" s="7">
        <v>44939</v>
      </c>
      <c r="I34" s="5" t="s">
        <v>22</v>
      </c>
      <c r="J34" s="5" t="s">
        <v>29</v>
      </c>
      <c r="K34" s="5">
        <v>178.58</v>
      </c>
      <c r="L34" s="8" t="s">
        <v>74</v>
      </c>
    </row>
    <row r="35" spans="1:12">
      <c r="A35" s="9" t="s">
        <v>93</v>
      </c>
      <c r="B35" s="10" t="s">
        <v>20</v>
      </c>
      <c r="C35" s="10" t="s">
        <v>15</v>
      </c>
      <c r="D35" s="10">
        <v>3594.76</v>
      </c>
      <c r="E35" s="10">
        <v>0.35</v>
      </c>
      <c r="F35" s="10">
        <v>4</v>
      </c>
      <c r="G35" s="12">
        <v>45097</v>
      </c>
      <c r="H35" s="12">
        <v>45099</v>
      </c>
      <c r="I35" s="10" t="s">
        <v>42</v>
      </c>
      <c r="J35" s="10" t="s">
        <v>17</v>
      </c>
      <c r="K35" s="10">
        <v>1002.97</v>
      </c>
      <c r="L35" s="13" t="s">
        <v>30</v>
      </c>
    </row>
    <row r="36" spans="1:12">
      <c r="A36" s="4" t="s">
        <v>94</v>
      </c>
      <c r="B36" s="5" t="s">
        <v>27</v>
      </c>
      <c r="C36" s="5" t="s">
        <v>52</v>
      </c>
      <c r="D36" s="5">
        <v>2899.46</v>
      </c>
      <c r="E36" s="5">
        <v>0.28000000000000003</v>
      </c>
      <c r="F36" s="5">
        <v>5</v>
      </c>
      <c r="G36" s="7">
        <v>45189</v>
      </c>
      <c r="H36" s="7">
        <v>45190</v>
      </c>
      <c r="I36" s="5" t="s">
        <v>22</v>
      </c>
      <c r="J36" s="5" t="s">
        <v>29</v>
      </c>
      <c r="K36" s="5">
        <v>320.43</v>
      </c>
      <c r="L36" s="8" t="s">
        <v>18</v>
      </c>
    </row>
    <row r="37" spans="1:12">
      <c r="A37" s="9" t="s">
        <v>95</v>
      </c>
      <c r="B37" s="10" t="s">
        <v>35</v>
      </c>
      <c r="C37" s="10" t="s">
        <v>21</v>
      </c>
      <c r="D37" s="10">
        <v>626.80999999999995</v>
      </c>
      <c r="E37" s="10">
        <v>0.28000000000000003</v>
      </c>
      <c r="F37" s="10">
        <v>7</v>
      </c>
      <c r="G37" s="12">
        <v>45298</v>
      </c>
      <c r="H37" s="12">
        <v>45303</v>
      </c>
      <c r="I37" s="10" t="s">
        <v>22</v>
      </c>
      <c r="J37" s="10" t="s">
        <v>17</v>
      </c>
      <c r="K37" s="10">
        <v>177.84</v>
      </c>
      <c r="L37" s="13" t="s">
        <v>74</v>
      </c>
    </row>
    <row r="38" spans="1:12">
      <c r="A38" s="4" t="s">
        <v>96</v>
      </c>
      <c r="B38" s="5" t="s">
        <v>14</v>
      </c>
      <c r="C38" s="5" t="s">
        <v>28</v>
      </c>
      <c r="D38" s="5">
        <v>2850.59</v>
      </c>
      <c r="E38" s="5">
        <v>0.26</v>
      </c>
      <c r="F38" s="5">
        <v>2</v>
      </c>
      <c r="G38" s="7">
        <v>45470</v>
      </c>
      <c r="H38" s="7">
        <v>45474</v>
      </c>
      <c r="I38" s="5" t="s">
        <v>22</v>
      </c>
      <c r="J38" s="5" t="s">
        <v>23</v>
      </c>
      <c r="K38" s="5">
        <v>528.38</v>
      </c>
      <c r="L38" s="8" t="s">
        <v>18</v>
      </c>
    </row>
    <row r="39" spans="1:12">
      <c r="A39" s="9" t="s">
        <v>97</v>
      </c>
      <c r="B39" s="10" t="s">
        <v>20</v>
      </c>
      <c r="C39" s="10" t="s">
        <v>47</v>
      </c>
      <c r="D39" s="10">
        <v>3339.02</v>
      </c>
      <c r="E39" s="10">
        <v>0.18</v>
      </c>
      <c r="F39" s="10">
        <v>6</v>
      </c>
      <c r="G39" s="12">
        <v>45651</v>
      </c>
      <c r="H39" s="12">
        <v>45652</v>
      </c>
      <c r="I39" s="10" t="s">
        <v>16</v>
      </c>
      <c r="J39" s="10" t="s">
        <v>29</v>
      </c>
      <c r="K39" s="10">
        <v>586.69000000000005</v>
      </c>
      <c r="L39" s="13" t="s">
        <v>25</v>
      </c>
    </row>
    <row r="40" spans="1:12">
      <c r="A40" s="4" t="s">
        <v>98</v>
      </c>
      <c r="B40" s="5" t="s">
        <v>27</v>
      </c>
      <c r="C40" s="5" t="s">
        <v>28</v>
      </c>
      <c r="D40" s="5">
        <v>4419.43</v>
      </c>
      <c r="E40" s="5">
        <v>0.22</v>
      </c>
      <c r="F40" s="5">
        <v>6</v>
      </c>
      <c r="G40" s="7">
        <v>45423</v>
      </c>
      <c r="H40" s="7">
        <v>45426</v>
      </c>
      <c r="I40" s="5" t="s">
        <v>42</v>
      </c>
      <c r="J40" s="5" t="s">
        <v>17</v>
      </c>
      <c r="K40" s="5">
        <v>742.22</v>
      </c>
      <c r="L40" s="8" t="s">
        <v>37</v>
      </c>
    </row>
    <row r="41" spans="1:12">
      <c r="A41" s="9" t="s">
        <v>99</v>
      </c>
      <c r="B41" s="10" t="s">
        <v>35</v>
      </c>
      <c r="C41" s="10" t="s">
        <v>52</v>
      </c>
      <c r="D41" s="10">
        <v>443.42</v>
      </c>
      <c r="E41" s="10">
        <v>0.06</v>
      </c>
      <c r="F41" s="10">
        <v>6</v>
      </c>
      <c r="G41" s="12">
        <v>44985</v>
      </c>
      <c r="H41" s="12">
        <v>44990</v>
      </c>
      <c r="I41" s="10" t="s">
        <v>16</v>
      </c>
      <c r="J41" s="10" t="s">
        <v>23</v>
      </c>
      <c r="K41" s="10">
        <v>119.91</v>
      </c>
      <c r="L41" s="13" t="s">
        <v>54</v>
      </c>
    </row>
    <row r="42" spans="1:12">
      <c r="A42" s="4" t="s">
        <v>100</v>
      </c>
      <c r="B42" s="5" t="s">
        <v>14</v>
      </c>
      <c r="C42" s="5" t="s">
        <v>47</v>
      </c>
      <c r="D42" s="5">
        <v>1548.61</v>
      </c>
      <c r="E42" s="5">
        <v>0.42</v>
      </c>
      <c r="F42" s="5">
        <v>7</v>
      </c>
      <c r="G42" s="7">
        <v>45261</v>
      </c>
      <c r="H42" s="7">
        <v>45263</v>
      </c>
      <c r="I42" s="5" t="s">
        <v>22</v>
      </c>
      <c r="J42" s="5" t="s">
        <v>29</v>
      </c>
      <c r="K42" s="5">
        <v>392.57</v>
      </c>
      <c r="L42" s="8" t="s">
        <v>25</v>
      </c>
    </row>
    <row r="43" spans="1:12">
      <c r="A43" s="9" t="s">
        <v>101</v>
      </c>
      <c r="B43" s="10" t="s">
        <v>20</v>
      </c>
      <c r="C43" s="10" t="s">
        <v>52</v>
      </c>
      <c r="D43" s="10">
        <v>3492.47</v>
      </c>
      <c r="E43" s="10">
        <v>0.44</v>
      </c>
      <c r="F43" s="10">
        <v>3</v>
      </c>
      <c r="G43" s="12">
        <v>44956</v>
      </c>
      <c r="H43" s="12">
        <v>44957</v>
      </c>
      <c r="I43" s="10" t="s">
        <v>16</v>
      </c>
      <c r="J43" s="10" t="s">
        <v>23</v>
      </c>
      <c r="K43" s="10">
        <v>765.08</v>
      </c>
      <c r="L43" s="13" t="s">
        <v>87</v>
      </c>
    </row>
    <row r="44" spans="1:12">
      <c r="A44" s="4" t="s">
        <v>102</v>
      </c>
      <c r="B44" s="5" t="s">
        <v>27</v>
      </c>
      <c r="C44" s="5" t="s">
        <v>52</v>
      </c>
      <c r="D44" s="5">
        <v>268.23</v>
      </c>
      <c r="E44" s="5">
        <v>0.38</v>
      </c>
      <c r="F44" s="5">
        <v>5</v>
      </c>
      <c r="G44" s="7">
        <v>45186</v>
      </c>
      <c r="H44" s="7">
        <v>45188</v>
      </c>
      <c r="I44" s="5" t="s">
        <v>22</v>
      </c>
      <c r="J44" s="5" t="s">
        <v>29</v>
      </c>
      <c r="K44" s="5">
        <v>48.54</v>
      </c>
      <c r="L44" s="8" t="s">
        <v>87</v>
      </c>
    </row>
    <row r="45" spans="1:12">
      <c r="A45" s="9" t="s">
        <v>103</v>
      </c>
      <c r="B45" s="10" t="s">
        <v>35</v>
      </c>
      <c r="C45" s="10" t="s">
        <v>15</v>
      </c>
      <c r="D45" s="10">
        <v>1097.4100000000001</v>
      </c>
      <c r="E45" s="10">
        <v>0.28999999999999998</v>
      </c>
      <c r="F45" s="10">
        <v>9</v>
      </c>
      <c r="G45" s="12">
        <v>45472</v>
      </c>
      <c r="H45" s="12">
        <v>45475</v>
      </c>
      <c r="I45" s="10" t="s">
        <v>16</v>
      </c>
      <c r="J45" s="10" t="s">
        <v>29</v>
      </c>
      <c r="K45" s="10">
        <v>235.05</v>
      </c>
      <c r="L45" s="13" t="s">
        <v>56</v>
      </c>
    </row>
    <row r="46" spans="1:12">
      <c r="A46" s="4" t="s">
        <v>104</v>
      </c>
      <c r="B46" s="5" t="s">
        <v>14</v>
      </c>
      <c r="C46" s="5" t="s">
        <v>28</v>
      </c>
      <c r="D46" s="5">
        <v>1171.48</v>
      </c>
      <c r="E46" s="5">
        <v>0.28000000000000003</v>
      </c>
      <c r="F46" s="5">
        <v>9</v>
      </c>
      <c r="G46" s="7">
        <v>45063</v>
      </c>
      <c r="H46" s="7">
        <v>45065</v>
      </c>
      <c r="I46" s="5" t="s">
        <v>22</v>
      </c>
      <c r="J46" s="5" t="s">
        <v>23</v>
      </c>
      <c r="K46" s="5">
        <v>129.80000000000001</v>
      </c>
      <c r="L46" s="8" t="s">
        <v>56</v>
      </c>
    </row>
    <row r="47" spans="1:12">
      <c r="A47" s="9" t="s">
        <v>105</v>
      </c>
      <c r="B47" s="10" t="s">
        <v>20</v>
      </c>
      <c r="C47" s="10" t="s">
        <v>28</v>
      </c>
      <c r="D47" s="10">
        <v>3379.7</v>
      </c>
      <c r="E47" s="10">
        <v>0.24</v>
      </c>
      <c r="F47" s="10">
        <v>7</v>
      </c>
      <c r="G47" s="12">
        <v>45242</v>
      </c>
      <c r="H47" s="12">
        <v>45247</v>
      </c>
      <c r="I47" s="10" t="s">
        <v>22</v>
      </c>
      <c r="J47" s="10" t="s">
        <v>29</v>
      </c>
      <c r="K47" s="10">
        <v>588.79</v>
      </c>
      <c r="L47" s="13" t="s">
        <v>18</v>
      </c>
    </row>
    <row r="48" spans="1:12">
      <c r="A48" s="4" t="s">
        <v>106</v>
      </c>
      <c r="B48" s="5" t="s">
        <v>27</v>
      </c>
      <c r="C48" s="5" t="s">
        <v>15</v>
      </c>
      <c r="D48" s="5">
        <v>1501.21</v>
      </c>
      <c r="E48" s="5">
        <v>0.12</v>
      </c>
      <c r="F48" s="5">
        <v>9</v>
      </c>
      <c r="G48" s="7">
        <v>45386</v>
      </c>
      <c r="H48" s="7">
        <v>45390</v>
      </c>
      <c r="I48" s="5" t="s">
        <v>16</v>
      </c>
      <c r="J48" s="5" t="s">
        <v>23</v>
      </c>
      <c r="K48" s="5">
        <v>127.89</v>
      </c>
      <c r="L48" s="8" t="s">
        <v>70</v>
      </c>
    </row>
    <row r="49" spans="1:12">
      <c r="A49" s="9" t="s">
        <v>107</v>
      </c>
      <c r="B49" s="10" t="s">
        <v>35</v>
      </c>
      <c r="C49" s="10" t="s">
        <v>28</v>
      </c>
      <c r="D49" s="10">
        <v>3038.02</v>
      </c>
      <c r="E49" s="10">
        <v>0.19</v>
      </c>
      <c r="F49" s="10">
        <v>3</v>
      </c>
      <c r="G49" s="12">
        <v>45334</v>
      </c>
      <c r="H49" s="12">
        <v>45341</v>
      </c>
      <c r="I49" s="10" t="s">
        <v>22</v>
      </c>
      <c r="J49" s="10" t="s">
        <v>29</v>
      </c>
      <c r="K49" s="10">
        <v>249.34</v>
      </c>
      <c r="L49" s="13" t="s">
        <v>36</v>
      </c>
    </row>
    <row r="50" spans="1:12">
      <c r="A50" s="4" t="s">
        <v>108</v>
      </c>
      <c r="B50" s="5" t="s">
        <v>14</v>
      </c>
      <c r="C50" s="5" t="s">
        <v>15</v>
      </c>
      <c r="D50" s="5">
        <v>4830.21</v>
      </c>
      <c r="E50" s="5">
        <v>0.49</v>
      </c>
      <c r="F50" s="5">
        <v>7</v>
      </c>
      <c r="G50" s="7">
        <v>45553</v>
      </c>
      <c r="H50" s="7">
        <v>45560</v>
      </c>
      <c r="I50" s="5" t="s">
        <v>42</v>
      </c>
      <c r="J50" s="5" t="s">
        <v>29</v>
      </c>
      <c r="K50" s="5">
        <v>1097.26</v>
      </c>
      <c r="L50" s="8" t="s">
        <v>77</v>
      </c>
    </row>
    <row r="51" spans="1:12">
      <c r="A51" s="9" t="s">
        <v>109</v>
      </c>
      <c r="B51" s="10" t="s">
        <v>20</v>
      </c>
      <c r="C51" s="10" t="s">
        <v>47</v>
      </c>
      <c r="D51" s="10">
        <v>3986.89</v>
      </c>
      <c r="E51" s="10">
        <v>7.0000000000000007E-2</v>
      </c>
      <c r="F51" s="10">
        <v>1</v>
      </c>
      <c r="G51" s="12">
        <v>45109</v>
      </c>
      <c r="H51" s="12">
        <v>45110</v>
      </c>
      <c r="I51" s="10" t="s">
        <v>16</v>
      </c>
      <c r="J51" s="10" t="s">
        <v>29</v>
      </c>
      <c r="K51" s="10">
        <v>1139.21</v>
      </c>
      <c r="L51" s="13" t="s">
        <v>54</v>
      </c>
    </row>
    <row r="52" spans="1:12">
      <c r="A52" s="4" t="s">
        <v>110</v>
      </c>
      <c r="B52" s="5" t="s">
        <v>27</v>
      </c>
      <c r="C52" s="5" t="s">
        <v>52</v>
      </c>
      <c r="D52" s="5">
        <v>1731.22</v>
      </c>
      <c r="E52" s="5">
        <v>0.27</v>
      </c>
      <c r="F52" s="5">
        <v>7</v>
      </c>
      <c r="G52" s="7">
        <v>45173</v>
      </c>
      <c r="H52" s="7">
        <v>45180</v>
      </c>
      <c r="I52" s="5" t="s">
        <v>16</v>
      </c>
      <c r="J52" s="5" t="s">
        <v>17</v>
      </c>
      <c r="K52" s="5">
        <v>433.9</v>
      </c>
      <c r="L52" s="8" t="s">
        <v>30</v>
      </c>
    </row>
    <row r="53" spans="1:12">
      <c r="A53" s="9" t="s">
        <v>111</v>
      </c>
      <c r="B53" s="10" t="s">
        <v>35</v>
      </c>
      <c r="C53" s="10" t="s">
        <v>52</v>
      </c>
      <c r="D53" s="10">
        <v>2414.7600000000002</v>
      </c>
      <c r="E53" s="10">
        <v>0.43</v>
      </c>
      <c r="F53" s="10">
        <v>3</v>
      </c>
      <c r="G53" s="12">
        <v>44955</v>
      </c>
      <c r="H53" s="12">
        <v>44961</v>
      </c>
      <c r="I53" s="10" t="s">
        <v>22</v>
      </c>
      <c r="J53" s="10" t="s">
        <v>29</v>
      </c>
      <c r="K53" s="10">
        <v>687.58</v>
      </c>
      <c r="L53" s="13" t="s">
        <v>24</v>
      </c>
    </row>
    <row r="54" spans="1:12">
      <c r="A54" s="4" t="s">
        <v>112</v>
      </c>
      <c r="B54" s="5" t="s">
        <v>14</v>
      </c>
      <c r="C54" s="5" t="s">
        <v>28</v>
      </c>
      <c r="D54" s="5">
        <v>1083.3</v>
      </c>
      <c r="E54" s="5">
        <v>0.23</v>
      </c>
      <c r="F54" s="5">
        <v>3</v>
      </c>
      <c r="G54" s="7">
        <v>45236</v>
      </c>
      <c r="H54" s="7">
        <v>45240</v>
      </c>
      <c r="I54" s="5" t="s">
        <v>16</v>
      </c>
      <c r="J54" s="5" t="s">
        <v>29</v>
      </c>
      <c r="K54" s="5">
        <v>114.25</v>
      </c>
      <c r="L54" s="8" t="s">
        <v>113</v>
      </c>
    </row>
    <row r="55" spans="1:12">
      <c r="A55" s="9" t="s">
        <v>114</v>
      </c>
      <c r="B55" s="10" t="s">
        <v>20</v>
      </c>
      <c r="C55" s="10" t="s">
        <v>21</v>
      </c>
      <c r="D55" s="10">
        <v>177.03</v>
      </c>
      <c r="E55" s="10">
        <v>0.3</v>
      </c>
      <c r="F55" s="10">
        <v>7</v>
      </c>
      <c r="G55" s="12">
        <v>45105</v>
      </c>
      <c r="H55" s="12">
        <v>45106</v>
      </c>
      <c r="I55" s="10" t="s">
        <v>42</v>
      </c>
      <c r="J55" s="10" t="s">
        <v>17</v>
      </c>
      <c r="K55" s="10">
        <v>20.43</v>
      </c>
      <c r="L55" s="13" t="s">
        <v>54</v>
      </c>
    </row>
    <row r="56" spans="1:12">
      <c r="A56" s="4" t="s">
        <v>115</v>
      </c>
      <c r="B56" s="5" t="s">
        <v>27</v>
      </c>
      <c r="C56" s="5" t="s">
        <v>52</v>
      </c>
      <c r="D56" s="5">
        <v>1519.61</v>
      </c>
      <c r="E56" s="5">
        <v>0.41</v>
      </c>
      <c r="F56" s="5">
        <v>8</v>
      </c>
      <c r="G56" s="7">
        <v>45431</v>
      </c>
      <c r="H56" s="7">
        <v>45438</v>
      </c>
      <c r="I56" s="5" t="s">
        <v>16</v>
      </c>
      <c r="J56" s="5" t="s">
        <v>17</v>
      </c>
      <c r="K56" s="5">
        <v>237.01</v>
      </c>
      <c r="L56" s="8" t="s">
        <v>56</v>
      </c>
    </row>
    <row r="57" spans="1:12">
      <c r="A57" s="9" t="s">
        <v>116</v>
      </c>
      <c r="B57" s="10" t="s">
        <v>35</v>
      </c>
      <c r="C57" s="10" t="s">
        <v>15</v>
      </c>
      <c r="D57" s="10">
        <v>1910.1</v>
      </c>
      <c r="E57" s="10">
        <v>0.27</v>
      </c>
      <c r="F57" s="10">
        <v>4</v>
      </c>
      <c r="G57" s="12">
        <v>45303</v>
      </c>
      <c r="H57" s="12">
        <v>45305</v>
      </c>
      <c r="I57" s="10" t="s">
        <v>42</v>
      </c>
      <c r="J57" s="10" t="s">
        <v>29</v>
      </c>
      <c r="K57" s="10">
        <v>278.48</v>
      </c>
      <c r="L57" s="13" t="s">
        <v>37</v>
      </c>
    </row>
    <row r="58" spans="1:12">
      <c r="A58" s="4" t="s">
        <v>117</v>
      </c>
      <c r="B58" s="5" t="s">
        <v>14</v>
      </c>
      <c r="C58" s="5" t="s">
        <v>21</v>
      </c>
      <c r="D58" s="5">
        <v>2865.4</v>
      </c>
      <c r="E58" s="5">
        <v>0.37</v>
      </c>
      <c r="F58" s="5">
        <v>1</v>
      </c>
      <c r="G58" s="7">
        <v>45204</v>
      </c>
      <c r="H58" s="7">
        <v>45206</v>
      </c>
      <c r="I58" s="5" t="s">
        <v>16</v>
      </c>
      <c r="J58" s="5" t="s">
        <v>29</v>
      </c>
      <c r="K58" s="5">
        <v>356.81</v>
      </c>
      <c r="L58" s="8" t="s">
        <v>118</v>
      </c>
    </row>
    <row r="59" spans="1:12">
      <c r="A59" s="9" t="s">
        <v>119</v>
      </c>
      <c r="B59" s="10" t="s">
        <v>20</v>
      </c>
      <c r="C59" s="10" t="s">
        <v>21</v>
      </c>
      <c r="D59" s="10">
        <v>4725.93</v>
      </c>
      <c r="E59" s="10">
        <v>0.17</v>
      </c>
      <c r="F59" s="10">
        <v>5</v>
      </c>
      <c r="G59" s="12">
        <v>45409</v>
      </c>
      <c r="H59" s="12">
        <v>45416</v>
      </c>
      <c r="I59" s="10" t="s">
        <v>42</v>
      </c>
      <c r="J59" s="10" t="s">
        <v>29</v>
      </c>
      <c r="K59" s="10">
        <v>581.75</v>
      </c>
      <c r="L59" s="13" t="s">
        <v>113</v>
      </c>
    </row>
    <row r="60" spans="1:12">
      <c r="A60" s="4" t="s">
        <v>120</v>
      </c>
      <c r="B60" s="5" t="s">
        <v>27</v>
      </c>
      <c r="C60" s="5" t="s">
        <v>52</v>
      </c>
      <c r="D60" s="5">
        <v>4744.4799999999996</v>
      </c>
      <c r="E60" s="5">
        <v>0.37</v>
      </c>
      <c r="F60" s="5">
        <v>4</v>
      </c>
      <c r="G60" s="7">
        <v>45202</v>
      </c>
      <c r="H60" s="7">
        <v>45207</v>
      </c>
      <c r="I60" s="5" t="s">
        <v>16</v>
      </c>
      <c r="J60" s="5" t="s">
        <v>23</v>
      </c>
      <c r="K60" s="5">
        <v>1320.22</v>
      </c>
      <c r="L60" s="8" t="s">
        <v>82</v>
      </c>
    </row>
    <row r="61" spans="1:12">
      <c r="A61" s="9" t="s">
        <v>121</v>
      </c>
      <c r="B61" s="10" t="s">
        <v>35</v>
      </c>
      <c r="C61" s="10" t="s">
        <v>52</v>
      </c>
      <c r="D61" s="10">
        <v>443.48</v>
      </c>
      <c r="E61" s="10">
        <v>0.02</v>
      </c>
      <c r="F61" s="10">
        <v>9</v>
      </c>
      <c r="G61" s="12">
        <v>45219</v>
      </c>
      <c r="H61" s="12">
        <v>45221</v>
      </c>
      <c r="I61" s="10" t="s">
        <v>42</v>
      </c>
      <c r="J61" s="10" t="s">
        <v>23</v>
      </c>
      <c r="K61" s="10">
        <v>42.23</v>
      </c>
      <c r="L61" s="13" t="s">
        <v>18</v>
      </c>
    </row>
    <row r="62" spans="1:12">
      <c r="A62" s="4" t="s">
        <v>122</v>
      </c>
      <c r="B62" s="5" t="s">
        <v>14</v>
      </c>
      <c r="C62" s="5" t="s">
        <v>52</v>
      </c>
      <c r="D62" s="5">
        <v>3111.76</v>
      </c>
      <c r="E62" s="5">
        <v>0.08</v>
      </c>
      <c r="F62" s="5">
        <v>3</v>
      </c>
      <c r="G62" s="7">
        <v>45054</v>
      </c>
      <c r="H62" s="7">
        <v>45057</v>
      </c>
      <c r="I62" s="5" t="s">
        <v>22</v>
      </c>
      <c r="J62" s="5" t="s">
        <v>23</v>
      </c>
      <c r="K62" s="5">
        <v>835.81</v>
      </c>
      <c r="L62" s="8" t="s">
        <v>84</v>
      </c>
    </row>
    <row r="63" spans="1:12">
      <c r="A63" s="9" t="s">
        <v>123</v>
      </c>
      <c r="B63" s="10" t="s">
        <v>20</v>
      </c>
      <c r="C63" s="10" t="s">
        <v>15</v>
      </c>
      <c r="D63" s="10">
        <v>307.52999999999997</v>
      </c>
      <c r="E63" s="10">
        <v>0.32</v>
      </c>
      <c r="F63" s="10">
        <v>4</v>
      </c>
      <c r="G63" s="12">
        <v>45233</v>
      </c>
      <c r="H63" s="12">
        <v>45238</v>
      </c>
      <c r="I63" s="10" t="s">
        <v>16</v>
      </c>
      <c r="J63" s="10" t="s">
        <v>29</v>
      </c>
      <c r="K63" s="10">
        <v>54.58</v>
      </c>
      <c r="L63" s="13" t="s">
        <v>36</v>
      </c>
    </row>
    <row r="64" spans="1:12">
      <c r="A64" s="4" t="s">
        <v>124</v>
      </c>
      <c r="B64" s="5" t="s">
        <v>27</v>
      </c>
      <c r="C64" s="5" t="s">
        <v>21</v>
      </c>
      <c r="D64" s="5">
        <v>3275.6</v>
      </c>
      <c r="E64" s="5">
        <v>0.22</v>
      </c>
      <c r="F64" s="5">
        <v>3</v>
      </c>
      <c r="G64" s="7">
        <v>44999</v>
      </c>
      <c r="H64" s="7">
        <v>45000</v>
      </c>
      <c r="I64" s="5" t="s">
        <v>16</v>
      </c>
      <c r="J64" s="5" t="s">
        <v>29</v>
      </c>
      <c r="K64" s="5">
        <v>922.83</v>
      </c>
      <c r="L64" s="8" t="s">
        <v>118</v>
      </c>
    </row>
    <row r="65" spans="1:12">
      <c r="A65" s="9" t="s">
        <v>125</v>
      </c>
      <c r="B65" s="10" t="s">
        <v>35</v>
      </c>
      <c r="C65" s="10" t="s">
        <v>28</v>
      </c>
      <c r="D65" s="10">
        <v>676.75</v>
      </c>
      <c r="E65" s="10">
        <v>0.41</v>
      </c>
      <c r="F65" s="10">
        <v>3</v>
      </c>
      <c r="G65" s="12">
        <v>45299</v>
      </c>
      <c r="H65" s="12">
        <v>45301</v>
      </c>
      <c r="I65" s="10" t="s">
        <v>42</v>
      </c>
      <c r="J65" s="10" t="s">
        <v>23</v>
      </c>
      <c r="K65" s="10">
        <v>36.86</v>
      </c>
      <c r="L65" s="13" t="s">
        <v>118</v>
      </c>
    </row>
    <row r="66" spans="1:12">
      <c r="A66" s="4" t="s">
        <v>126</v>
      </c>
      <c r="B66" s="5" t="s">
        <v>14</v>
      </c>
      <c r="C66" s="5" t="s">
        <v>15</v>
      </c>
      <c r="D66" s="5">
        <v>4737.37</v>
      </c>
      <c r="E66" s="5">
        <v>0.17</v>
      </c>
      <c r="F66" s="5">
        <v>7</v>
      </c>
      <c r="G66" s="7">
        <v>45652</v>
      </c>
      <c r="H66" s="7">
        <v>45653</v>
      </c>
      <c r="I66" s="5" t="s">
        <v>16</v>
      </c>
      <c r="J66" s="5" t="s">
        <v>17</v>
      </c>
      <c r="K66" s="5">
        <v>499.78</v>
      </c>
      <c r="L66" s="8" t="s">
        <v>36</v>
      </c>
    </row>
    <row r="67" spans="1:12">
      <c r="A67" s="9" t="s">
        <v>127</v>
      </c>
      <c r="B67" s="10" t="s">
        <v>20</v>
      </c>
      <c r="C67" s="10" t="s">
        <v>47</v>
      </c>
      <c r="D67" s="10">
        <v>4335.26</v>
      </c>
      <c r="E67" s="10">
        <v>0.38</v>
      </c>
      <c r="F67" s="10">
        <v>5</v>
      </c>
      <c r="G67" s="12">
        <v>45360</v>
      </c>
      <c r="H67" s="12">
        <v>45362</v>
      </c>
      <c r="I67" s="10" t="s">
        <v>42</v>
      </c>
      <c r="J67" s="10" t="s">
        <v>17</v>
      </c>
      <c r="K67" s="10">
        <v>757.48</v>
      </c>
      <c r="L67" s="13" t="s">
        <v>56</v>
      </c>
    </row>
    <row r="68" spans="1:12">
      <c r="A68" s="4" t="s">
        <v>128</v>
      </c>
      <c r="B68" s="5" t="s">
        <v>27</v>
      </c>
      <c r="C68" s="5" t="s">
        <v>52</v>
      </c>
      <c r="D68" s="5">
        <v>209.41</v>
      </c>
      <c r="E68" s="5">
        <v>7.0000000000000007E-2</v>
      </c>
      <c r="F68" s="5">
        <v>5</v>
      </c>
      <c r="G68" s="7">
        <v>45646</v>
      </c>
      <c r="H68" s="7">
        <v>45651</v>
      </c>
      <c r="I68" s="5" t="s">
        <v>22</v>
      </c>
      <c r="J68" s="5" t="s">
        <v>29</v>
      </c>
      <c r="K68" s="5">
        <v>17.88</v>
      </c>
      <c r="L68" s="8" t="s">
        <v>37</v>
      </c>
    </row>
    <row r="69" spans="1:12">
      <c r="A69" s="9" t="s">
        <v>129</v>
      </c>
      <c r="B69" s="10" t="s">
        <v>35</v>
      </c>
      <c r="C69" s="10" t="s">
        <v>21</v>
      </c>
      <c r="D69" s="10">
        <v>3932.45</v>
      </c>
      <c r="E69" s="10">
        <v>0.47</v>
      </c>
      <c r="F69" s="10">
        <v>4</v>
      </c>
      <c r="G69" s="12">
        <v>44988</v>
      </c>
      <c r="H69" s="12">
        <v>44994</v>
      </c>
      <c r="I69" s="10" t="s">
        <v>42</v>
      </c>
      <c r="J69" s="10" t="s">
        <v>29</v>
      </c>
      <c r="K69" s="10">
        <v>408.02</v>
      </c>
      <c r="L69" s="13" t="s">
        <v>87</v>
      </c>
    </row>
    <row r="70" spans="1:12">
      <c r="A70" s="4" t="s">
        <v>130</v>
      </c>
      <c r="B70" s="5" t="s">
        <v>14</v>
      </c>
      <c r="C70" s="5" t="s">
        <v>15</v>
      </c>
      <c r="D70" s="5">
        <v>3215.9</v>
      </c>
      <c r="E70" s="5">
        <v>0.21</v>
      </c>
      <c r="F70" s="5">
        <v>8</v>
      </c>
      <c r="G70" s="7">
        <v>44970</v>
      </c>
      <c r="H70" s="7">
        <v>44973</v>
      </c>
      <c r="I70" s="5" t="s">
        <v>16</v>
      </c>
      <c r="J70" s="5" t="s">
        <v>29</v>
      </c>
      <c r="K70" s="5">
        <v>542.05999999999995</v>
      </c>
      <c r="L70" s="8" t="s">
        <v>118</v>
      </c>
    </row>
    <row r="71" spans="1:12">
      <c r="A71" s="9" t="s">
        <v>131</v>
      </c>
      <c r="B71" s="10" t="s">
        <v>20</v>
      </c>
      <c r="C71" s="10" t="s">
        <v>47</v>
      </c>
      <c r="D71" s="10">
        <v>2527.31</v>
      </c>
      <c r="E71" s="10">
        <v>0.12</v>
      </c>
      <c r="F71" s="10">
        <v>1</v>
      </c>
      <c r="G71" s="12">
        <v>45296</v>
      </c>
      <c r="H71" s="12">
        <v>45297</v>
      </c>
      <c r="I71" s="10" t="s">
        <v>22</v>
      </c>
      <c r="J71" s="10" t="s">
        <v>23</v>
      </c>
      <c r="K71" s="10">
        <v>611.45000000000005</v>
      </c>
      <c r="L71" s="13" t="s">
        <v>77</v>
      </c>
    </row>
    <row r="72" spans="1:12">
      <c r="A72" s="4" t="s">
        <v>132</v>
      </c>
      <c r="B72" s="5" t="s">
        <v>27</v>
      </c>
      <c r="C72" s="5" t="s">
        <v>15</v>
      </c>
      <c r="D72" s="5">
        <v>3052.91</v>
      </c>
      <c r="E72" s="5">
        <v>0.39</v>
      </c>
      <c r="F72" s="5">
        <v>9</v>
      </c>
      <c r="G72" s="7">
        <v>45449</v>
      </c>
      <c r="H72" s="7">
        <v>45453</v>
      </c>
      <c r="I72" s="5" t="s">
        <v>42</v>
      </c>
      <c r="J72" s="5" t="s">
        <v>23</v>
      </c>
      <c r="K72" s="5">
        <v>752</v>
      </c>
      <c r="L72" s="8" t="s">
        <v>37</v>
      </c>
    </row>
    <row r="73" spans="1:12">
      <c r="A73" s="9" t="s">
        <v>133</v>
      </c>
      <c r="B73" s="10" t="s">
        <v>35</v>
      </c>
      <c r="C73" s="10" t="s">
        <v>15</v>
      </c>
      <c r="D73" s="10">
        <v>3423.43</v>
      </c>
      <c r="E73" s="10">
        <v>0.47</v>
      </c>
      <c r="F73" s="10">
        <v>9</v>
      </c>
      <c r="G73" s="12">
        <v>45620</v>
      </c>
      <c r="H73" s="12">
        <v>45622</v>
      </c>
      <c r="I73" s="10" t="s">
        <v>42</v>
      </c>
      <c r="J73" s="10" t="s">
        <v>23</v>
      </c>
      <c r="K73" s="10">
        <v>698.02</v>
      </c>
      <c r="L73" s="13" t="s">
        <v>25</v>
      </c>
    </row>
    <row r="74" spans="1:12">
      <c r="A74" s="4" t="s">
        <v>134</v>
      </c>
      <c r="B74" s="5" t="s">
        <v>14</v>
      </c>
      <c r="C74" s="5" t="s">
        <v>28</v>
      </c>
      <c r="D74" s="5">
        <v>4433.84</v>
      </c>
      <c r="E74" s="5">
        <v>0.46</v>
      </c>
      <c r="F74" s="5">
        <v>5</v>
      </c>
      <c r="G74" s="7">
        <v>45621</v>
      </c>
      <c r="H74" s="7">
        <v>45626</v>
      </c>
      <c r="I74" s="5" t="s">
        <v>22</v>
      </c>
      <c r="J74" s="5" t="s">
        <v>29</v>
      </c>
      <c r="K74" s="5">
        <v>1229.3</v>
      </c>
      <c r="L74" s="8" t="s">
        <v>82</v>
      </c>
    </row>
    <row r="75" spans="1:12">
      <c r="A75" s="9" t="s">
        <v>135</v>
      </c>
      <c r="B75" s="10" t="s">
        <v>20</v>
      </c>
      <c r="C75" s="10" t="s">
        <v>28</v>
      </c>
      <c r="D75" s="10">
        <v>3860.05</v>
      </c>
      <c r="E75" s="10">
        <v>0.12</v>
      </c>
      <c r="F75" s="10">
        <v>1</v>
      </c>
      <c r="G75" s="12">
        <v>44987</v>
      </c>
      <c r="H75" s="12">
        <v>44994</v>
      </c>
      <c r="I75" s="10" t="s">
        <v>16</v>
      </c>
      <c r="J75" s="10" t="s">
        <v>17</v>
      </c>
      <c r="K75" s="10">
        <v>800.39</v>
      </c>
      <c r="L75" s="13" t="s">
        <v>36</v>
      </c>
    </row>
    <row r="76" spans="1:12">
      <c r="A76" s="4" t="s">
        <v>136</v>
      </c>
      <c r="B76" s="5" t="s">
        <v>27</v>
      </c>
      <c r="C76" s="5" t="s">
        <v>15</v>
      </c>
      <c r="D76" s="5">
        <v>2919.35</v>
      </c>
      <c r="E76" s="5">
        <v>0.34</v>
      </c>
      <c r="F76" s="5">
        <v>2</v>
      </c>
      <c r="G76" s="7">
        <v>45409</v>
      </c>
      <c r="H76" s="7">
        <v>45410</v>
      </c>
      <c r="I76" s="5" t="s">
        <v>16</v>
      </c>
      <c r="J76" s="5" t="s">
        <v>23</v>
      </c>
      <c r="K76" s="5">
        <v>163.35</v>
      </c>
      <c r="L76" s="8" t="s">
        <v>70</v>
      </c>
    </row>
    <row r="77" spans="1:12">
      <c r="A77" s="9" t="s">
        <v>137</v>
      </c>
      <c r="B77" s="10" t="s">
        <v>35</v>
      </c>
      <c r="C77" s="10" t="s">
        <v>47</v>
      </c>
      <c r="D77" s="10">
        <v>4140.62</v>
      </c>
      <c r="E77" s="10">
        <v>0.27</v>
      </c>
      <c r="F77" s="10">
        <v>2</v>
      </c>
      <c r="G77" s="12">
        <v>45106</v>
      </c>
      <c r="H77" s="12">
        <v>45113</v>
      </c>
      <c r="I77" s="10" t="s">
        <v>16</v>
      </c>
      <c r="J77" s="10" t="s">
        <v>17</v>
      </c>
      <c r="K77" s="10">
        <v>743.22</v>
      </c>
      <c r="L77" s="13" t="s">
        <v>70</v>
      </c>
    </row>
    <row r="78" spans="1:12">
      <c r="A78" s="4" t="s">
        <v>138</v>
      </c>
      <c r="B78" s="5" t="s">
        <v>14</v>
      </c>
      <c r="C78" s="5" t="s">
        <v>21</v>
      </c>
      <c r="D78" s="5">
        <v>4935.92</v>
      </c>
      <c r="E78" s="5">
        <v>0.36</v>
      </c>
      <c r="F78" s="5">
        <v>6</v>
      </c>
      <c r="G78" s="7">
        <v>45561</v>
      </c>
      <c r="H78" s="7">
        <v>45566</v>
      </c>
      <c r="I78" s="5" t="s">
        <v>22</v>
      </c>
      <c r="J78" s="5" t="s">
        <v>17</v>
      </c>
      <c r="K78" s="5">
        <v>1440.78</v>
      </c>
      <c r="L78" s="8" t="s">
        <v>74</v>
      </c>
    </row>
    <row r="79" spans="1:12">
      <c r="A79" s="9" t="s">
        <v>139</v>
      </c>
      <c r="B79" s="10" t="s">
        <v>20</v>
      </c>
      <c r="C79" s="10" t="s">
        <v>21</v>
      </c>
      <c r="D79" s="10">
        <v>1570.89</v>
      </c>
      <c r="E79" s="10">
        <v>0.24</v>
      </c>
      <c r="F79" s="10">
        <v>9</v>
      </c>
      <c r="G79" s="12">
        <v>44948</v>
      </c>
      <c r="H79" s="12">
        <v>44949</v>
      </c>
      <c r="I79" s="10" t="s">
        <v>42</v>
      </c>
      <c r="J79" s="10" t="s">
        <v>17</v>
      </c>
      <c r="K79" s="10">
        <v>336.22</v>
      </c>
      <c r="L79" s="13" t="s">
        <v>113</v>
      </c>
    </row>
    <row r="80" spans="1:12">
      <c r="A80" s="4" t="s">
        <v>140</v>
      </c>
      <c r="B80" s="5" t="s">
        <v>27</v>
      </c>
      <c r="C80" s="5" t="s">
        <v>52</v>
      </c>
      <c r="D80" s="5">
        <v>680.26</v>
      </c>
      <c r="E80" s="5">
        <v>0.23</v>
      </c>
      <c r="F80" s="5">
        <v>3</v>
      </c>
      <c r="G80" s="7">
        <v>45441</v>
      </c>
      <c r="H80" s="7">
        <v>45444</v>
      </c>
      <c r="I80" s="5" t="s">
        <v>22</v>
      </c>
      <c r="J80" s="5" t="s">
        <v>17</v>
      </c>
      <c r="K80" s="5">
        <v>151.09</v>
      </c>
      <c r="L80" s="8" t="s">
        <v>36</v>
      </c>
    </row>
    <row r="81" spans="1:12">
      <c r="A81" s="9" t="s">
        <v>141</v>
      </c>
      <c r="B81" s="10" t="s">
        <v>35</v>
      </c>
      <c r="C81" s="10" t="s">
        <v>52</v>
      </c>
      <c r="D81" s="10">
        <v>3684.1</v>
      </c>
      <c r="E81" s="10">
        <v>0.44</v>
      </c>
      <c r="F81" s="10">
        <v>8</v>
      </c>
      <c r="G81" s="12">
        <v>45642</v>
      </c>
      <c r="H81" s="12">
        <v>45649</v>
      </c>
      <c r="I81" s="10" t="s">
        <v>42</v>
      </c>
      <c r="J81" s="10" t="s">
        <v>17</v>
      </c>
      <c r="K81" s="10">
        <v>289.32</v>
      </c>
      <c r="L81" s="13" t="s">
        <v>56</v>
      </c>
    </row>
    <row r="82" spans="1:12">
      <c r="A82" s="4" t="s">
        <v>142</v>
      </c>
      <c r="B82" s="5" t="s">
        <v>14</v>
      </c>
      <c r="C82" s="5" t="s">
        <v>21</v>
      </c>
      <c r="D82" s="5">
        <v>4895.12</v>
      </c>
      <c r="E82" s="5">
        <v>0.44</v>
      </c>
      <c r="F82" s="5">
        <v>2</v>
      </c>
      <c r="G82" s="7">
        <v>45624</v>
      </c>
      <c r="H82" s="7">
        <v>45630</v>
      </c>
      <c r="I82" s="5" t="s">
        <v>22</v>
      </c>
      <c r="J82" s="5" t="s">
        <v>23</v>
      </c>
      <c r="K82" s="5">
        <v>684.94</v>
      </c>
      <c r="L82" s="8" t="s">
        <v>56</v>
      </c>
    </row>
    <row r="83" spans="1:12">
      <c r="A83" s="9" t="s">
        <v>143</v>
      </c>
      <c r="B83" s="10" t="s">
        <v>20</v>
      </c>
      <c r="C83" s="10" t="s">
        <v>15</v>
      </c>
      <c r="D83" s="10">
        <v>671.86</v>
      </c>
      <c r="E83" s="10">
        <v>0.39</v>
      </c>
      <c r="F83" s="10">
        <v>5</v>
      </c>
      <c r="G83" s="12">
        <v>45609</v>
      </c>
      <c r="H83" s="12">
        <v>45611</v>
      </c>
      <c r="I83" s="10" t="s">
        <v>42</v>
      </c>
      <c r="J83" s="10" t="s">
        <v>17</v>
      </c>
      <c r="K83" s="10">
        <v>175.75</v>
      </c>
      <c r="L83" s="13" t="s">
        <v>54</v>
      </c>
    </row>
    <row r="84" spans="1:12">
      <c r="A84" s="4" t="s">
        <v>144</v>
      </c>
      <c r="B84" s="5" t="s">
        <v>27</v>
      </c>
      <c r="C84" s="5" t="s">
        <v>15</v>
      </c>
      <c r="D84" s="5">
        <v>2215.37</v>
      </c>
      <c r="E84" s="5">
        <v>0.35</v>
      </c>
      <c r="F84" s="5">
        <v>4</v>
      </c>
      <c r="G84" s="7">
        <v>45499</v>
      </c>
      <c r="H84" s="7">
        <v>45506</v>
      </c>
      <c r="I84" s="5" t="s">
        <v>42</v>
      </c>
      <c r="J84" s="5" t="s">
        <v>29</v>
      </c>
      <c r="K84" s="5">
        <v>171.87</v>
      </c>
      <c r="L84" s="8" t="s">
        <v>113</v>
      </c>
    </row>
    <row r="85" spans="1:12">
      <c r="A85" s="9" t="s">
        <v>145</v>
      </c>
      <c r="B85" s="10" t="s">
        <v>35</v>
      </c>
      <c r="C85" s="10" t="s">
        <v>28</v>
      </c>
      <c r="D85" s="10">
        <v>405.11</v>
      </c>
      <c r="E85" s="10">
        <v>0.34</v>
      </c>
      <c r="F85" s="10">
        <v>5</v>
      </c>
      <c r="G85" s="12">
        <v>45275</v>
      </c>
      <c r="H85" s="12">
        <v>45276</v>
      </c>
      <c r="I85" s="10" t="s">
        <v>22</v>
      </c>
      <c r="J85" s="10" t="s">
        <v>23</v>
      </c>
      <c r="K85" s="10">
        <v>105.25</v>
      </c>
      <c r="L85" s="13" t="s">
        <v>77</v>
      </c>
    </row>
    <row r="86" spans="1:12">
      <c r="A86" s="4" t="s">
        <v>146</v>
      </c>
      <c r="B86" s="5" t="s">
        <v>14</v>
      </c>
      <c r="C86" s="5" t="s">
        <v>28</v>
      </c>
      <c r="D86" s="5">
        <v>3905.01</v>
      </c>
      <c r="E86" s="5">
        <v>0.03</v>
      </c>
      <c r="F86" s="5">
        <v>4</v>
      </c>
      <c r="G86" s="7">
        <v>45491</v>
      </c>
      <c r="H86" s="7">
        <v>45498</v>
      </c>
      <c r="I86" s="5" t="s">
        <v>22</v>
      </c>
      <c r="J86" s="5" t="s">
        <v>17</v>
      </c>
      <c r="K86" s="5">
        <v>754.77</v>
      </c>
      <c r="L86" s="8" t="s">
        <v>77</v>
      </c>
    </row>
    <row r="87" spans="1:12">
      <c r="A87" s="9" t="s">
        <v>147</v>
      </c>
      <c r="B87" s="10" t="s">
        <v>20</v>
      </c>
      <c r="C87" s="10" t="s">
        <v>52</v>
      </c>
      <c r="D87" s="10">
        <v>4748.67</v>
      </c>
      <c r="E87" s="10">
        <v>0.37</v>
      </c>
      <c r="F87" s="10">
        <v>1</v>
      </c>
      <c r="G87" s="12">
        <v>45599</v>
      </c>
      <c r="H87" s="12">
        <v>45603</v>
      </c>
      <c r="I87" s="10" t="s">
        <v>22</v>
      </c>
      <c r="J87" s="10" t="s">
        <v>17</v>
      </c>
      <c r="K87" s="10">
        <v>705.01</v>
      </c>
      <c r="L87" s="13" t="s">
        <v>56</v>
      </c>
    </row>
    <row r="88" spans="1:12">
      <c r="A88" s="4" t="s">
        <v>148</v>
      </c>
      <c r="B88" s="5" t="s">
        <v>27</v>
      </c>
      <c r="C88" s="5" t="s">
        <v>21</v>
      </c>
      <c r="D88" s="5">
        <v>2545.0700000000002</v>
      </c>
      <c r="E88" s="5">
        <v>0.32</v>
      </c>
      <c r="F88" s="5">
        <v>1</v>
      </c>
      <c r="G88" s="7">
        <v>45150</v>
      </c>
      <c r="H88" s="7">
        <v>45152</v>
      </c>
      <c r="I88" s="5" t="s">
        <v>42</v>
      </c>
      <c r="J88" s="5" t="s">
        <v>23</v>
      </c>
      <c r="K88" s="5">
        <v>719.11</v>
      </c>
      <c r="L88" s="8" t="s">
        <v>30</v>
      </c>
    </row>
    <row r="89" spans="1:12">
      <c r="A89" s="9" t="s">
        <v>149</v>
      </c>
      <c r="B89" s="10" t="s">
        <v>35</v>
      </c>
      <c r="C89" s="10" t="s">
        <v>15</v>
      </c>
      <c r="D89" s="10">
        <v>2106.65</v>
      </c>
      <c r="E89" s="10">
        <v>0.15</v>
      </c>
      <c r="F89" s="10">
        <v>6</v>
      </c>
      <c r="G89" s="12">
        <v>45463</v>
      </c>
      <c r="H89" s="12">
        <v>45465</v>
      </c>
      <c r="I89" s="10" t="s">
        <v>22</v>
      </c>
      <c r="J89" s="10" t="s">
        <v>17</v>
      </c>
      <c r="K89" s="10">
        <v>120.84</v>
      </c>
      <c r="L89" s="13" t="s">
        <v>74</v>
      </c>
    </row>
    <row r="90" spans="1:12">
      <c r="A90" s="4" t="s">
        <v>150</v>
      </c>
      <c r="B90" s="5" t="s">
        <v>14</v>
      </c>
      <c r="C90" s="5" t="s">
        <v>21</v>
      </c>
      <c r="D90" s="5">
        <v>4547.82</v>
      </c>
      <c r="E90" s="5">
        <v>0.41</v>
      </c>
      <c r="F90" s="5">
        <v>8</v>
      </c>
      <c r="G90" s="7">
        <v>45232</v>
      </c>
      <c r="H90" s="7">
        <v>45237</v>
      </c>
      <c r="I90" s="5" t="s">
        <v>42</v>
      </c>
      <c r="J90" s="5" t="s">
        <v>29</v>
      </c>
      <c r="K90" s="5">
        <v>1281.0999999999999</v>
      </c>
      <c r="L90" s="8" t="s">
        <v>37</v>
      </c>
    </row>
    <row r="91" spans="1:12">
      <c r="A91" s="9" t="s">
        <v>151</v>
      </c>
      <c r="B91" s="10" t="s">
        <v>20</v>
      </c>
      <c r="C91" s="10" t="s">
        <v>47</v>
      </c>
      <c r="D91" s="10">
        <v>753.6</v>
      </c>
      <c r="E91" s="10">
        <v>0.42</v>
      </c>
      <c r="F91" s="10">
        <v>7</v>
      </c>
      <c r="G91" s="12">
        <v>45229</v>
      </c>
      <c r="H91" s="12">
        <v>45231</v>
      </c>
      <c r="I91" s="10" t="s">
        <v>42</v>
      </c>
      <c r="J91" s="10" t="s">
        <v>17</v>
      </c>
      <c r="K91" s="10">
        <v>203.17</v>
      </c>
      <c r="L91" s="13" t="s">
        <v>25</v>
      </c>
    </row>
    <row r="92" spans="1:12">
      <c r="A92" s="4" t="s">
        <v>152</v>
      </c>
      <c r="B92" s="5" t="s">
        <v>27</v>
      </c>
      <c r="C92" s="5" t="s">
        <v>21</v>
      </c>
      <c r="D92" s="5">
        <v>4468.76</v>
      </c>
      <c r="E92" s="5">
        <v>0.47</v>
      </c>
      <c r="F92" s="5">
        <v>4</v>
      </c>
      <c r="G92" s="7">
        <v>45560</v>
      </c>
      <c r="H92" s="7">
        <v>45561</v>
      </c>
      <c r="I92" s="5" t="s">
        <v>22</v>
      </c>
      <c r="J92" s="5" t="s">
        <v>23</v>
      </c>
      <c r="K92" s="5">
        <v>1325.93</v>
      </c>
      <c r="L92" s="8" t="s">
        <v>74</v>
      </c>
    </row>
    <row r="93" spans="1:12">
      <c r="A93" s="9" t="s">
        <v>153</v>
      </c>
      <c r="B93" s="10" t="s">
        <v>35</v>
      </c>
      <c r="C93" s="10" t="s">
        <v>47</v>
      </c>
      <c r="D93" s="10">
        <v>2021.42</v>
      </c>
      <c r="E93" s="10">
        <v>0.21</v>
      </c>
      <c r="F93" s="10">
        <v>5</v>
      </c>
      <c r="G93" s="12">
        <v>45624</v>
      </c>
      <c r="H93" s="12">
        <v>45627</v>
      </c>
      <c r="I93" s="10" t="s">
        <v>16</v>
      </c>
      <c r="J93" s="10" t="s">
        <v>23</v>
      </c>
      <c r="K93" s="10">
        <v>311.67</v>
      </c>
      <c r="L93" s="13" t="s">
        <v>36</v>
      </c>
    </row>
    <row r="94" spans="1:12">
      <c r="A94" s="4" t="s">
        <v>154</v>
      </c>
      <c r="B94" s="5" t="s">
        <v>14</v>
      </c>
      <c r="C94" s="5" t="s">
        <v>28</v>
      </c>
      <c r="D94" s="5">
        <v>2841.09</v>
      </c>
      <c r="E94" s="5">
        <v>0.28000000000000003</v>
      </c>
      <c r="F94" s="5">
        <v>8</v>
      </c>
      <c r="G94" s="7">
        <v>45282</v>
      </c>
      <c r="H94" s="7">
        <v>45283</v>
      </c>
      <c r="I94" s="5" t="s">
        <v>16</v>
      </c>
      <c r="J94" s="5" t="s">
        <v>23</v>
      </c>
      <c r="K94" s="5">
        <v>469.27</v>
      </c>
      <c r="L94" s="8" t="s">
        <v>36</v>
      </c>
    </row>
    <row r="95" spans="1:12">
      <c r="A95" s="9" t="s">
        <v>155</v>
      </c>
      <c r="B95" s="10" t="s">
        <v>20</v>
      </c>
      <c r="C95" s="10" t="s">
        <v>28</v>
      </c>
      <c r="D95" s="10">
        <v>2688.63</v>
      </c>
      <c r="E95" s="10">
        <v>0.45</v>
      </c>
      <c r="F95" s="10">
        <v>6</v>
      </c>
      <c r="G95" s="12">
        <v>45504</v>
      </c>
      <c r="H95" s="12">
        <v>45510</v>
      </c>
      <c r="I95" s="10" t="s">
        <v>42</v>
      </c>
      <c r="J95" s="10" t="s">
        <v>29</v>
      </c>
      <c r="K95" s="10">
        <v>608.51</v>
      </c>
      <c r="L95" s="13" t="s">
        <v>118</v>
      </c>
    </row>
    <row r="96" spans="1:12">
      <c r="A96" s="4" t="s">
        <v>156</v>
      </c>
      <c r="B96" s="5" t="s">
        <v>27</v>
      </c>
      <c r="C96" s="5" t="s">
        <v>52</v>
      </c>
      <c r="D96" s="5">
        <v>3118.3</v>
      </c>
      <c r="E96" s="5">
        <v>0.16</v>
      </c>
      <c r="F96" s="5">
        <v>8</v>
      </c>
      <c r="G96" s="7">
        <v>45645</v>
      </c>
      <c r="H96" s="7">
        <v>45647</v>
      </c>
      <c r="I96" s="5" t="s">
        <v>42</v>
      </c>
      <c r="J96" s="5" t="s">
        <v>17</v>
      </c>
      <c r="K96" s="5">
        <v>241.86</v>
      </c>
      <c r="L96" s="8" t="s">
        <v>37</v>
      </c>
    </row>
    <row r="97" spans="1:12">
      <c r="A97" s="9" t="s">
        <v>157</v>
      </c>
      <c r="B97" s="10" t="s">
        <v>35</v>
      </c>
      <c r="C97" s="10" t="s">
        <v>21</v>
      </c>
      <c r="D97" s="10">
        <v>4716.3999999999996</v>
      </c>
      <c r="E97" s="10">
        <v>0.4</v>
      </c>
      <c r="F97" s="10">
        <v>6</v>
      </c>
      <c r="G97" s="12">
        <v>45195</v>
      </c>
      <c r="H97" s="12">
        <v>45199</v>
      </c>
      <c r="I97" s="10" t="s">
        <v>16</v>
      </c>
      <c r="J97" s="10" t="s">
        <v>23</v>
      </c>
      <c r="K97" s="10">
        <v>523.02</v>
      </c>
      <c r="L97" s="13" t="s">
        <v>113</v>
      </c>
    </row>
    <row r="98" spans="1:12">
      <c r="A98" s="4" t="s">
        <v>158</v>
      </c>
      <c r="B98" s="5" t="s">
        <v>14</v>
      </c>
      <c r="C98" s="5" t="s">
        <v>21</v>
      </c>
      <c r="D98" s="5">
        <v>4760.5200000000004</v>
      </c>
      <c r="E98" s="5">
        <v>0.5</v>
      </c>
      <c r="F98" s="5">
        <v>8</v>
      </c>
      <c r="G98" s="7">
        <v>44941</v>
      </c>
      <c r="H98" s="7">
        <v>44947</v>
      </c>
      <c r="I98" s="5" t="s">
        <v>42</v>
      </c>
      <c r="J98" s="5" t="s">
        <v>29</v>
      </c>
      <c r="K98" s="5">
        <v>764.06</v>
      </c>
      <c r="L98" s="8" t="s">
        <v>87</v>
      </c>
    </row>
    <row r="99" spans="1:12">
      <c r="A99" s="9" t="s">
        <v>159</v>
      </c>
      <c r="B99" s="10" t="s">
        <v>20</v>
      </c>
      <c r="C99" s="10" t="s">
        <v>47</v>
      </c>
      <c r="D99" s="10">
        <v>4172.63</v>
      </c>
      <c r="E99" s="10">
        <v>0.33</v>
      </c>
      <c r="F99" s="10">
        <v>4</v>
      </c>
      <c r="G99" s="12">
        <v>45444</v>
      </c>
      <c r="H99" s="12">
        <v>45448</v>
      </c>
      <c r="I99" s="10" t="s">
        <v>16</v>
      </c>
      <c r="J99" s="10" t="s">
        <v>29</v>
      </c>
      <c r="K99" s="10">
        <v>957.31</v>
      </c>
      <c r="L99" s="13" t="s">
        <v>77</v>
      </c>
    </row>
    <row r="100" spans="1:12">
      <c r="A100" s="4" t="s">
        <v>160</v>
      </c>
      <c r="B100" s="5" t="s">
        <v>27</v>
      </c>
      <c r="C100" s="5" t="s">
        <v>28</v>
      </c>
      <c r="D100" s="5">
        <v>1038.57</v>
      </c>
      <c r="E100" s="5">
        <v>0.49</v>
      </c>
      <c r="F100" s="5">
        <v>2</v>
      </c>
      <c r="G100" s="7">
        <v>45179</v>
      </c>
      <c r="H100" s="7">
        <v>45185</v>
      </c>
      <c r="I100" s="5" t="s">
        <v>42</v>
      </c>
      <c r="J100" s="5" t="s">
        <v>23</v>
      </c>
      <c r="K100" s="5">
        <v>180.83</v>
      </c>
      <c r="L100" s="8" t="s">
        <v>82</v>
      </c>
    </row>
    <row r="101" spans="1:12">
      <c r="A101" s="9" t="s">
        <v>161</v>
      </c>
      <c r="B101" s="10" t="s">
        <v>35</v>
      </c>
      <c r="C101" s="10" t="s">
        <v>47</v>
      </c>
      <c r="D101" s="10">
        <v>1734.23</v>
      </c>
      <c r="E101" s="10">
        <v>0.26</v>
      </c>
      <c r="F101" s="10">
        <v>3</v>
      </c>
      <c r="G101" s="12">
        <v>45011</v>
      </c>
      <c r="H101" s="12">
        <v>45012</v>
      </c>
      <c r="I101" s="10" t="s">
        <v>42</v>
      </c>
      <c r="J101" s="10" t="s">
        <v>23</v>
      </c>
      <c r="K101" s="10">
        <v>186.24</v>
      </c>
      <c r="L101" s="13" t="s">
        <v>63</v>
      </c>
    </row>
    <row r="102" spans="1:12">
      <c r="A102" s="4" t="s">
        <v>162</v>
      </c>
      <c r="B102" s="5" t="s">
        <v>14</v>
      </c>
      <c r="C102" s="5" t="s">
        <v>28</v>
      </c>
      <c r="D102" s="5">
        <v>2490.34</v>
      </c>
      <c r="E102" s="5">
        <v>0.08</v>
      </c>
      <c r="F102" s="5">
        <v>5</v>
      </c>
      <c r="G102" s="7">
        <v>45480</v>
      </c>
      <c r="H102" s="7">
        <v>45481</v>
      </c>
      <c r="I102" s="5" t="s">
        <v>22</v>
      </c>
      <c r="J102" s="5" t="s">
        <v>29</v>
      </c>
      <c r="K102" s="5">
        <v>306.17</v>
      </c>
      <c r="L102" s="8" t="s">
        <v>36</v>
      </c>
    </row>
    <row r="103" spans="1:12">
      <c r="A103" s="9" t="s">
        <v>163</v>
      </c>
      <c r="B103" s="10" t="s">
        <v>20</v>
      </c>
      <c r="C103" s="10" t="s">
        <v>47</v>
      </c>
      <c r="D103" s="10">
        <v>4536.76</v>
      </c>
      <c r="E103" s="10">
        <v>0.09</v>
      </c>
      <c r="F103" s="10">
        <v>4</v>
      </c>
      <c r="G103" s="12">
        <v>45656</v>
      </c>
      <c r="H103" s="12">
        <v>45657</v>
      </c>
      <c r="I103" s="10" t="s">
        <v>16</v>
      </c>
      <c r="J103" s="10" t="s">
        <v>23</v>
      </c>
      <c r="K103" s="10">
        <v>1077.1099999999999</v>
      </c>
      <c r="L103" s="13" t="s">
        <v>56</v>
      </c>
    </row>
    <row r="104" spans="1:12">
      <c r="A104" s="4" t="s">
        <v>164</v>
      </c>
      <c r="B104" s="5" t="s">
        <v>27</v>
      </c>
      <c r="C104" s="5" t="s">
        <v>28</v>
      </c>
      <c r="D104" s="5">
        <v>2652.24</v>
      </c>
      <c r="E104" s="5">
        <v>0.37</v>
      </c>
      <c r="F104" s="5">
        <v>5</v>
      </c>
      <c r="G104" s="7">
        <v>45089</v>
      </c>
      <c r="H104" s="7">
        <v>45090</v>
      </c>
      <c r="I104" s="5" t="s">
        <v>42</v>
      </c>
      <c r="J104" s="5" t="s">
        <v>23</v>
      </c>
      <c r="K104" s="5">
        <v>666.98</v>
      </c>
      <c r="L104" s="8" t="s">
        <v>24</v>
      </c>
    </row>
    <row r="105" spans="1:12">
      <c r="A105" s="9" t="s">
        <v>165</v>
      </c>
      <c r="B105" s="10" t="s">
        <v>35</v>
      </c>
      <c r="C105" s="10" t="s">
        <v>47</v>
      </c>
      <c r="D105" s="10">
        <v>4889.43</v>
      </c>
      <c r="E105" s="10">
        <v>0</v>
      </c>
      <c r="F105" s="10">
        <v>1</v>
      </c>
      <c r="G105" s="12">
        <v>45163</v>
      </c>
      <c r="H105" s="12">
        <v>45170</v>
      </c>
      <c r="I105" s="10" t="s">
        <v>16</v>
      </c>
      <c r="J105" s="10" t="s">
        <v>29</v>
      </c>
      <c r="K105" s="10">
        <v>777.62</v>
      </c>
      <c r="L105" s="13" t="s">
        <v>24</v>
      </c>
    </row>
    <row r="106" spans="1:12">
      <c r="A106" s="4" t="s">
        <v>166</v>
      </c>
      <c r="B106" s="5" t="s">
        <v>14</v>
      </c>
      <c r="C106" s="5" t="s">
        <v>28</v>
      </c>
      <c r="D106" s="5">
        <v>4920.82</v>
      </c>
      <c r="E106" s="5">
        <v>0.33</v>
      </c>
      <c r="F106" s="5">
        <v>1</v>
      </c>
      <c r="G106" s="7">
        <v>45008</v>
      </c>
      <c r="H106" s="7">
        <v>45013</v>
      </c>
      <c r="I106" s="5" t="s">
        <v>22</v>
      </c>
      <c r="J106" s="5" t="s">
        <v>17</v>
      </c>
      <c r="K106" s="5">
        <v>483.88</v>
      </c>
      <c r="L106" s="8" t="s">
        <v>113</v>
      </c>
    </row>
    <row r="107" spans="1:12">
      <c r="A107" s="9" t="s">
        <v>167</v>
      </c>
      <c r="B107" s="10" t="s">
        <v>20</v>
      </c>
      <c r="C107" s="10" t="s">
        <v>47</v>
      </c>
      <c r="D107" s="10">
        <v>3033.06</v>
      </c>
      <c r="E107" s="10">
        <v>0.08</v>
      </c>
      <c r="F107" s="10">
        <v>2</v>
      </c>
      <c r="G107" s="12">
        <v>45516</v>
      </c>
      <c r="H107" s="12">
        <v>45517</v>
      </c>
      <c r="I107" s="10" t="s">
        <v>16</v>
      </c>
      <c r="J107" s="10" t="s">
        <v>23</v>
      </c>
      <c r="K107" s="10">
        <v>587.57000000000005</v>
      </c>
      <c r="L107" s="13" t="s">
        <v>74</v>
      </c>
    </row>
    <row r="108" spans="1:12">
      <c r="A108" s="4" t="s">
        <v>168</v>
      </c>
      <c r="B108" s="5" t="s">
        <v>27</v>
      </c>
      <c r="C108" s="5" t="s">
        <v>21</v>
      </c>
      <c r="D108" s="5">
        <v>4399.7299999999996</v>
      </c>
      <c r="E108" s="5">
        <v>0.49</v>
      </c>
      <c r="F108" s="5">
        <v>2</v>
      </c>
      <c r="G108" s="7">
        <v>45328</v>
      </c>
      <c r="H108" s="7">
        <v>45333</v>
      </c>
      <c r="I108" s="5" t="s">
        <v>42</v>
      </c>
      <c r="J108" s="5" t="s">
        <v>29</v>
      </c>
      <c r="K108" s="5">
        <v>660.08</v>
      </c>
      <c r="L108" s="8" t="s">
        <v>77</v>
      </c>
    </row>
    <row r="109" spans="1:12">
      <c r="A109" s="9" t="s">
        <v>169</v>
      </c>
      <c r="B109" s="10" t="s">
        <v>35</v>
      </c>
      <c r="C109" s="10" t="s">
        <v>52</v>
      </c>
      <c r="D109" s="10">
        <v>4996.1899999999996</v>
      </c>
      <c r="E109" s="10">
        <v>0.08</v>
      </c>
      <c r="F109" s="10">
        <v>8</v>
      </c>
      <c r="G109" s="12">
        <v>45074</v>
      </c>
      <c r="H109" s="12">
        <v>45076</v>
      </c>
      <c r="I109" s="10" t="s">
        <v>16</v>
      </c>
      <c r="J109" s="10" t="s">
        <v>23</v>
      </c>
      <c r="K109" s="10">
        <v>1047.8699999999999</v>
      </c>
      <c r="L109" s="13" t="s">
        <v>25</v>
      </c>
    </row>
    <row r="110" spans="1:12">
      <c r="A110" s="4" t="s">
        <v>170</v>
      </c>
      <c r="B110" s="5" t="s">
        <v>14</v>
      </c>
      <c r="C110" s="5" t="s">
        <v>47</v>
      </c>
      <c r="D110" s="5">
        <v>4263.6099999999997</v>
      </c>
      <c r="E110" s="5">
        <v>0.28000000000000003</v>
      </c>
      <c r="F110" s="5">
        <v>4</v>
      </c>
      <c r="G110" s="7">
        <v>45363</v>
      </c>
      <c r="H110" s="7">
        <v>45364</v>
      </c>
      <c r="I110" s="5" t="s">
        <v>22</v>
      </c>
      <c r="J110" s="5" t="s">
        <v>23</v>
      </c>
      <c r="K110" s="5">
        <v>1092.43</v>
      </c>
      <c r="L110" s="8" t="s">
        <v>70</v>
      </c>
    </row>
    <row r="111" spans="1:12">
      <c r="A111" s="9" t="s">
        <v>171</v>
      </c>
      <c r="B111" s="10" t="s">
        <v>20</v>
      </c>
      <c r="C111" s="10" t="s">
        <v>52</v>
      </c>
      <c r="D111" s="10">
        <v>3318.86</v>
      </c>
      <c r="E111" s="10">
        <v>0.33</v>
      </c>
      <c r="F111" s="10">
        <v>6</v>
      </c>
      <c r="G111" s="12">
        <v>45547</v>
      </c>
      <c r="H111" s="12">
        <v>45554</v>
      </c>
      <c r="I111" s="10" t="s">
        <v>16</v>
      </c>
      <c r="J111" s="10" t="s">
        <v>17</v>
      </c>
      <c r="K111" s="10">
        <v>604.07000000000005</v>
      </c>
      <c r="L111" s="13" t="s">
        <v>54</v>
      </c>
    </row>
    <row r="112" spans="1:12">
      <c r="A112" s="4" t="s">
        <v>172</v>
      </c>
      <c r="B112" s="5" t="s">
        <v>27</v>
      </c>
      <c r="C112" s="5" t="s">
        <v>21</v>
      </c>
      <c r="D112" s="5">
        <v>4241.1499999999996</v>
      </c>
      <c r="E112" s="5">
        <v>0.41</v>
      </c>
      <c r="F112" s="5">
        <v>2</v>
      </c>
      <c r="G112" s="7">
        <v>45486</v>
      </c>
      <c r="H112" s="7">
        <v>45487</v>
      </c>
      <c r="I112" s="5" t="s">
        <v>16</v>
      </c>
      <c r="J112" s="5" t="s">
        <v>23</v>
      </c>
      <c r="K112" s="5">
        <v>1168.31</v>
      </c>
      <c r="L112" s="8" t="s">
        <v>82</v>
      </c>
    </row>
    <row r="113" spans="1:12">
      <c r="A113" s="9" t="s">
        <v>173</v>
      </c>
      <c r="B113" s="10" t="s">
        <v>35</v>
      </c>
      <c r="C113" s="10" t="s">
        <v>21</v>
      </c>
      <c r="D113" s="10">
        <v>505.01</v>
      </c>
      <c r="E113" s="10">
        <v>0.23</v>
      </c>
      <c r="F113" s="10">
        <v>1</v>
      </c>
      <c r="G113" s="12">
        <v>45081</v>
      </c>
      <c r="H113" s="12">
        <v>45088</v>
      </c>
      <c r="I113" s="10" t="s">
        <v>16</v>
      </c>
      <c r="J113" s="10" t="s">
        <v>23</v>
      </c>
      <c r="K113" s="10">
        <v>71.8</v>
      </c>
      <c r="L113" s="13" t="s">
        <v>87</v>
      </c>
    </row>
    <row r="114" spans="1:12">
      <c r="A114" s="4" t="s">
        <v>174</v>
      </c>
      <c r="B114" s="5" t="s">
        <v>14</v>
      </c>
      <c r="C114" s="5" t="s">
        <v>28</v>
      </c>
      <c r="D114" s="5">
        <v>3210.62</v>
      </c>
      <c r="E114" s="5">
        <v>0.47</v>
      </c>
      <c r="F114" s="5">
        <v>7</v>
      </c>
      <c r="G114" s="7">
        <v>45514</v>
      </c>
      <c r="H114" s="7">
        <v>45518</v>
      </c>
      <c r="I114" s="5" t="s">
        <v>16</v>
      </c>
      <c r="J114" s="5" t="s">
        <v>23</v>
      </c>
      <c r="K114" s="5">
        <v>546.45000000000005</v>
      </c>
      <c r="L114" s="8" t="s">
        <v>77</v>
      </c>
    </row>
    <row r="115" spans="1:12">
      <c r="A115" s="9" t="s">
        <v>175</v>
      </c>
      <c r="B115" s="10" t="s">
        <v>20</v>
      </c>
      <c r="C115" s="10" t="s">
        <v>52</v>
      </c>
      <c r="D115" s="10">
        <v>1160.96</v>
      </c>
      <c r="E115" s="10">
        <v>0.24</v>
      </c>
      <c r="F115" s="10">
        <v>4</v>
      </c>
      <c r="G115" s="12">
        <v>45055</v>
      </c>
      <c r="H115" s="12">
        <v>45057</v>
      </c>
      <c r="I115" s="10" t="s">
        <v>42</v>
      </c>
      <c r="J115" s="10" t="s">
        <v>29</v>
      </c>
      <c r="K115" s="10">
        <v>223.68</v>
      </c>
      <c r="L115" s="13" t="s">
        <v>77</v>
      </c>
    </row>
    <row r="116" spans="1:12">
      <c r="A116" s="4" t="s">
        <v>176</v>
      </c>
      <c r="B116" s="5" t="s">
        <v>27</v>
      </c>
      <c r="C116" s="5" t="s">
        <v>15</v>
      </c>
      <c r="D116" s="5">
        <v>668.71</v>
      </c>
      <c r="E116" s="5">
        <v>0.13</v>
      </c>
      <c r="F116" s="5">
        <v>4</v>
      </c>
      <c r="G116" s="7">
        <v>45045</v>
      </c>
      <c r="H116" s="7">
        <v>45047</v>
      </c>
      <c r="I116" s="5" t="s">
        <v>16</v>
      </c>
      <c r="J116" s="5" t="s">
        <v>23</v>
      </c>
      <c r="K116" s="5">
        <v>153.62</v>
      </c>
      <c r="L116" s="8" t="s">
        <v>84</v>
      </c>
    </row>
    <row r="117" spans="1:12">
      <c r="A117" s="9" t="s">
        <v>177</v>
      </c>
      <c r="B117" s="10" t="s">
        <v>35</v>
      </c>
      <c r="C117" s="10" t="s">
        <v>28</v>
      </c>
      <c r="D117" s="10">
        <v>4475.07</v>
      </c>
      <c r="E117" s="10">
        <v>0.3</v>
      </c>
      <c r="F117" s="10">
        <v>2</v>
      </c>
      <c r="G117" s="12">
        <v>45196</v>
      </c>
      <c r="H117" s="12">
        <v>45197</v>
      </c>
      <c r="I117" s="10" t="s">
        <v>22</v>
      </c>
      <c r="J117" s="10" t="s">
        <v>23</v>
      </c>
      <c r="K117" s="10">
        <v>815.29</v>
      </c>
      <c r="L117" s="13" t="s">
        <v>24</v>
      </c>
    </row>
    <row r="118" spans="1:12">
      <c r="A118" s="4" t="s">
        <v>178</v>
      </c>
      <c r="B118" s="5" t="s">
        <v>14</v>
      </c>
      <c r="C118" s="5" t="s">
        <v>52</v>
      </c>
      <c r="D118" s="5">
        <v>3234.26</v>
      </c>
      <c r="E118" s="5">
        <v>0.33</v>
      </c>
      <c r="F118" s="5">
        <v>9</v>
      </c>
      <c r="G118" s="7">
        <v>45342</v>
      </c>
      <c r="H118" s="7">
        <v>45349</v>
      </c>
      <c r="I118" s="5" t="s">
        <v>16</v>
      </c>
      <c r="J118" s="5" t="s">
        <v>29</v>
      </c>
      <c r="K118" s="5">
        <v>817.55</v>
      </c>
      <c r="L118" s="8" t="s">
        <v>113</v>
      </c>
    </row>
    <row r="119" spans="1:12">
      <c r="A119" s="9" t="s">
        <v>179</v>
      </c>
      <c r="B119" s="10" t="s">
        <v>20</v>
      </c>
      <c r="C119" s="10" t="s">
        <v>47</v>
      </c>
      <c r="D119" s="10">
        <v>1293.3800000000001</v>
      </c>
      <c r="E119" s="10">
        <v>0.25</v>
      </c>
      <c r="F119" s="10">
        <v>2</v>
      </c>
      <c r="G119" s="12">
        <v>44936</v>
      </c>
      <c r="H119" s="12">
        <v>44938</v>
      </c>
      <c r="I119" s="10" t="s">
        <v>22</v>
      </c>
      <c r="J119" s="10" t="s">
        <v>23</v>
      </c>
      <c r="K119" s="10">
        <v>289.92</v>
      </c>
      <c r="L119" s="13" t="s">
        <v>18</v>
      </c>
    </row>
    <row r="120" spans="1:12">
      <c r="A120" s="4" t="s">
        <v>180</v>
      </c>
      <c r="B120" s="5" t="s">
        <v>27</v>
      </c>
      <c r="C120" s="5" t="s">
        <v>47</v>
      </c>
      <c r="D120" s="5">
        <v>1995.23</v>
      </c>
      <c r="E120" s="5">
        <v>0.37</v>
      </c>
      <c r="F120" s="5">
        <v>5</v>
      </c>
      <c r="G120" s="7">
        <v>45336</v>
      </c>
      <c r="H120" s="7">
        <v>45339</v>
      </c>
      <c r="I120" s="5" t="s">
        <v>22</v>
      </c>
      <c r="J120" s="5" t="s">
        <v>23</v>
      </c>
      <c r="K120" s="5">
        <v>274.36</v>
      </c>
      <c r="L120" s="8" t="s">
        <v>87</v>
      </c>
    </row>
    <row r="121" spans="1:12">
      <c r="A121" s="9" t="s">
        <v>181</v>
      </c>
      <c r="B121" s="10" t="s">
        <v>35</v>
      </c>
      <c r="C121" s="10" t="s">
        <v>21</v>
      </c>
      <c r="D121" s="10">
        <v>4869.0600000000004</v>
      </c>
      <c r="E121" s="10">
        <v>0.21</v>
      </c>
      <c r="F121" s="10">
        <v>6</v>
      </c>
      <c r="G121" s="12">
        <v>45149</v>
      </c>
      <c r="H121" s="12">
        <v>45155</v>
      </c>
      <c r="I121" s="10" t="s">
        <v>22</v>
      </c>
      <c r="J121" s="10" t="s">
        <v>23</v>
      </c>
      <c r="K121" s="10">
        <v>1022.41</v>
      </c>
      <c r="L121" s="13" t="s">
        <v>25</v>
      </c>
    </row>
    <row r="122" spans="1:12">
      <c r="A122" s="4" t="s">
        <v>182</v>
      </c>
      <c r="B122" s="5" t="s">
        <v>14</v>
      </c>
      <c r="C122" s="5" t="s">
        <v>15</v>
      </c>
      <c r="D122" s="5">
        <v>4324.6899999999996</v>
      </c>
      <c r="E122" s="5">
        <v>0</v>
      </c>
      <c r="F122" s="5">
        <v>3</v>
      </c>
      <c r="G122" s="7">
        <v>45503</v>
      </c>
      <c r="H122" s="7">
        <v>45507</v>
      </c>
      <c r="I122" s="5" t="s">
        <v>22</v>
      </c>
      <c r="J122" s="5" t="s">
        <v>17</v>
      </c>
      <c r="K122" s="5">
        <v>558.65</v>
      </c>
      <c r="L122" s="8" t="s">
        <v>70</v>
      </c>
    </row>
    <row r="123" spans="1:12">
      <c r="A123" s="9" t="s">
        <v>183</v>
      </c>
      <c r="B123" s="10" t="s">
        <v>20</v>
      </c>
      <c r="C123" s="10" t="s">
        <v>47</v>
      </c>
      <c r="D123" s="10">
        <v>176.35</v>
      </c>
      <c r="E123" s="10">
        <v>0.13</v>
      </c>
      <c r="F123" s="10">
        <v>3</v>
      </c>
      <c r="G123" s="12">
        <v>45104</v>
      </c>
      <c r="H123" s="12">
        <v>45106</v>
      </c>
      <c r="I123" s="10" t="s">
        <v>42</v>
      </c>
      <c r="J123" s="10" t="s">
        <v>29</v>
      </c>
      <c r="K123" s="10">
        <v>40.409999999999997</v>
      </c>
      <c r="L123" s="13" t="s">
        <v>25</v>
      </c>
    </row>
    <row r="124" spans="1:12">
      <c r="A124" s="4" t="s">
        <v>184</v>
      </c>
      <c r="B124" s="5" t="s">
        <v>27</v>
      </c>
      <c r="C124" s="5" t="s">
        <v>52</v>
      </c>
      <c r="D124" s="5">
        <v>4901.0200000000004</v>
      </c>
      <c r="E124" s="5">
        <v>0.47</v>
      </c>
      <c r="F124" s="5">
        <v>6</v>
      </c>
      <c r="G124" s="7">
        <v>45103</v>
      </c>
      <c r="H124" s="7">
        <v>45106</v>
      </c>
      <c r="I124" s="5" t="s">
        <v>16</v>
      </c>
      <c r="J124" s="5" t="s">
        <v>29</v>
      </c>
      <c r="K124" s="5">
        <v>1045.7</v>
      </c>
      <c r="L124" s="8" t="s">
        <v>30</v>
      </c>
    </row>
    <row r="125" spans="1:12">
      <c r="A125" s="9" t="s">
        <v>185</v>
      </c>
      <c r="B125" s="10" t="s">
        <v>35</v>
      </c>
      <c r="C125" s="10" t="s">
        <v>52</v>
      </c>
      <c r="D125" s="10">
        <v>1905.79</v>
      </c>
      <c r="E125" s="10">
        <v>0.38</v>
      </c>
      <c r="F125" s="10">
        <v>5</v>
      </c>
      <c r="G125" s="12">
        <v>45470</v>
      </c>
      <c r="H125" s="12">
        <v>45477</v>
      </c>
      <c r="I125" s="10" t="s">
        <v>16</v>
      </c>
      <c r="J125" s="10" t="s">
        <v>29</v>
      </c>
      <c r="K125" s="10">
        <v>179.78</v>
      </c>
      <c r="L125" s="13" t="s">
        <v>37</v>
      </c>
    </row>
    <row r="126" spans="1:12">
      <c r="A126" s="4" t="s">
        <v>186</v>
      </c>
      <c r="B126" s="5" t="s">
        <v>14</v>
      </c>
      <c r="C126" s="5" t="s">
        <v>47</v>
      </c>
      <c r="D126" s="5">
        <v>3507.55</v>
      </c>
      <c r="E126" s="5">
        <v>0.09</v>
      </c>
      <c r="F126" s="5">
        <v>5</v>
      </c>
      <c r="G126" s="7">
        <v>45503</v>
      </c>
      <c r="H126" s="7">
        <v>45504</v>
      </c>
      <c r="I126" s="5" t="s">
        <v>42</v>
      </c>
      <c r="J126" s="5" t="s">
        <v>17</v>
      </c>
      <c r="K126" s="5">
        <v>789.67</v>
      </c>
      <c r="L126" s="8" t="s">
        <v>36</v>
      </c>
    </row>
    <row r="127" spans="1:12">
      <c r="A127" s="9" t="s">
        <v>187</v>
      </c>
      <c r="B127" s="10" t="s">
        <v>20</v>
      </c>
      <c r="C127" s="10" t="s">
        <v>52</v>
      </c>
      <c r="D127" s="10">
        <v>3592.12</v>
      </c>
      <c r="E127" s="10">
        <v>0.03</v>
      </c>
      <c r="F127" s="10">
        <v>5</v>
      </c>
      <c r="G127" s="12">
        <v>44952</v>
      </c>
      <c r="H127" s="12">
        <v>44956</v>
      </c>
      <c r="I127" s="10" t="s">
        <v>16</v>
      </c>
      <c r="J127" s="10" t="s">
        <v>29</v>
      </c>
      <c r="K127" s="10">
        <v>296.98</v>
      </c>
      <c r="L127" s="13" t="s">
        <v>87</v>
      </c>
    </row>
    <row r="128" spans="1:12">
      <c r="A128" s="4" t="s">
        <v>188</v>
      </c>
      <c r="B128" s="5" t="s">
        <v>27</v>
      </c>
      <c r="C128" s="5" t="s">
        <v>52</v>
      </c>
      <c r="D128" s="5">
        <v>4567.25</v>
      </c>
      <c r="E128" s="5">
        <v>0.18</v>
      </c>
      <c r="F128" s="5">
        <v>9</v>
      </c>
      <c r="G128" s="7">
        <v>45123</v>
      </c>
      <c r="H128" s="7">
        <v>45129</v>
      </c>
      <c r="I128" s="5" t="s">
        <v>42</v>
      </c>
      <c r="J128" s="5" t="s">
        <v>29</v>
      </c>
      <c r="K128" s="5">
        <v>333.34</v>
      </c>
      <c r="L128" s="8" t="s">
        <v>24</v>
      </c>
    </row>
    <row r="129" spans="1:12">
      <c r="A129" s="9" t="s">
        <v>189</v>
      </c>
      <c r="B129" s="10" t="s">
        <v>35</v>
      </c>
      <c r="C129" s="10" t="s">
        <v>21</v>
      </c>
      <c r="D129" s="10">
        <v>4436.8</v>
      </c>
      <c r="E129" s="10">
        <v>0.42</v>
      </c>
      <c r="F129" s="10">
        <v>8</v>
      </c>
      <c r="G129" s="12">
        <v>45336</v>
      </c>
      <c r="H129" s="12">
        <v>45340</v>
      </c>
      <c r="I129" s="10" t="s">
        <v>22</v>
      </c>
      <c r="J129" s="10" t="s">
        <v>29</v>
      </c>
      <c r="K129" s="10">
        <v>934.84</v>
      </c>
      <c r="L129" s="13" t="s">
        <v>30</v>
      </c>
    </row>
    <row r="130" spans="1:12">
      <c r="A130" s="4" t="s">
        <v>190</v>
      </c>
      <c r="B130" s="5" t="s">
        <v>14</v>
      </c>
      <c r="C130" s="5" t="s">
        <v>15</v>
      </c>
      <c r="D130" s="5">
        <v>1480.47</v>
      </c>
      <c r="E130" s="5">
        <v>0.05</v>
      </c>
      <c r="F130" s="5">
        <v>4</v>
      </c>
      <c r="G130" s="7">
        <v>44991</v>
      </c>
      <c r="H130" s="7">
        <v>44995</v>
      </c>
      <c r="I130" s="5" t="s">
        <v>16</v>
      </c>
      <c r="J130" s="5" t="s">
        <v>23</v>
      </c>
      <c r="K130" s="5">
        <v>197.42</v>
      </c>
      <c r="L130" s="8" t="s">
        <v>54</v>
      </c>
    </row>
    <row r="131" spans="1:12">
      <c r="A131" s="9" t="s">
        <v>191</v>
      </c>
      <c r="B131" s="10" t="s">
        <v>20</v>
      </c>
      <c r="C131" s="10" t="s">
        <v>21</v>
      </c>
      <c r="D131" s="10">
        <v>3253.32</v>
      </c>
      <c r="E131" s="10">
        <v>0.27</v>
      </c>
      <c r="F131" s="10">
        <v>6</v>
      </c>
      <c r="G131" s="12">
        <v>45404</v>
      </c>
      <c r="H131" s="12">
        <v>45407</v>
      </c>
      <c r="I131" s="10" t="s">
        <v>22</v>
      </c>
      <c r="J131" s="10" t="s">
        <v>17</v>
      </c>
      <c r="K131" s="10">
        <v>293.39999999999998</v>
      </c>
      <c r="L131" s="13" t="s">
        <v>18</v>
      </c>
    </row>
    <row r="132" spans="1:12">
      <c r="A132" s="4" t="s">
        <v>192</v>
      </c>
      <c r="B132" s="5" t="s">
        <v>27</v>
      </c>
      <c r="C132" s="5" t="s">
        <v>15</v>
      </c>
      <c r="D132" s="5">
        <v>2029.16</v>
      </c>
      <c r="E132" s="5">
        <v>0.14000000000000001</v>
      </c>
      <c r="F132" s="5">
        <v>5</v>
      </c>
      <c r="G132" s="7">
        <v>45322</v>
      </c>
      <c r="H132" s="7">
        <v>45327</v>
      </c>
      <c r="I132" s="5" t="s">
        <v>16</v>
      </c>
      <c r="J132" s="5" t="s">
        <v>23</v>
      </c>
      <c r="K132" s="5">
        <v>602.37</v>
      </c>
      <c r="L132" s="8" t="s">
        <v>37</v>
      </c>
    </row>
    <row r="133" spans="1:12">
      <c r="A133" s="9" t="s">
        <v>193</v>
      </c>
      <c r="B133" s="10" t="s">
        <v>35</v>
      </c>
      <c r="C133" s="10" t="s">
        <v>52</v>
      </c>
      <c r="D133" s="10">
        <v>2675.16</v>
      </c>
      <c r="E133" s="10">
        <v>0.36</v>
      </c>
      <c r="F133" s="10">
        <v>6</v>
      </c>
      <c r="G133" s="12">
        <v>45410</v>
      </c>
      <c r="H133" s="12">
        <v>45414</v>
      </c>
      <c r="I133" s="10" t="s">
        <v>16</v>
      </c>
      <c r="J133" s="10" t="s">
        <v>29</v>
      </c>
      <c r="K133" s="10">
        <v>715.56</v>
      </c>
      <c r="L133" s="13" t="s">
        <v>87</v>
      </c>
    </row>
    <row r="134" spans="1:12">
      <c r="A134" s="4" t="s">
        <v>194</v>
      </c>
      <c r="B134" s="5" t="s">
        <v>14</v>
      </c>
      <c r="C134" s="5" t="s">
        <v>15</v>
      </c>
      <c r="D134" s="5">
        <v>2817.92</v>
      </c>
      <c r="E134" s="5">
        <v>0</v>
      </c>
      <c r="F134" s="5">
        <v>8</v>
      </c>
      <c r="G134" s="7">
        <v>45590</v>
      </c>
      <c r="H134" s="7">
        <v>45593</v>
      </c>
      <c r="I134" s="5" t="s">
        <v>16</v>
      </c>
      <c r="J134" s="5" t="s">
        <v>23</v>
      </c>
      <c r="K134" s="5">
        <v>265.5</v>
      </c>
      <c r="L134" s="8" t="s">
        <v>70</v>
      </c>
    </row>
    <row r="135" spans="1:12">
      <c r="A135" s="9" t="s">
        <v>195</v>
      </c>
      <c r="B135" s="10" t="s">
        <v>20</v>
      </c>
      <c r="C135" s="10" t="s">
        <v>52</v>
      </c>
      <c r="D135" s="10">
        <v>2042.08</v>
      </c>
      <c r="E135" s="10">
        <v>0.14000000000000001</v>
      </c>
      <c r="F135" s="10">
        <v>6</v>
      </c>
      <c r="G135" s="12">
        <v>45109</v>
      </c>
      <c r="H135" s="12">
        <v>45115</v>
      </c>
      <c r="I135" s="10" t="s">
        <v>22</v>
      </c>
      <c r="J135" s="10" t="s">
        <v>29</v>
      </c>
      <c r="K135" s="10">
        <v>583.83000000000004</v>
      </c>
      <c r="L135" s="13" t="s">
        <v>113</v>
      </c>
    </row>
    <row r="136" spans="1:12">
      <c r="A136" s="4" t="s">
        <v>196</v>
      </c>
      <c r="B136" s="5" t="s">
        <v>27</v>
      </c>
      <c r="C136" s="5" t="s">
        <v>52</v>
      </c>
      <c r="D136" s="5">
        <v>2373.08</v>
      </c>
      <c r="E136" s="5">
        <v>0.34</v>
      </c>
      <c r="F136" s="5">
        <v>6</v>
      </c>
      <c r="G136" s="7">
        <v>45527</v>
      </c>
      <c r="H136" s="7">
        <v>45534</v>
      </c>
      <c r="I136" s="5" t="s">
        <v>42</v>
      </c>
      <c r="J136" s="5" t="s">
        <v>23</v>
      </c>
      <c r="K136" s="5">
        <v>478.2</v>
      </c>
      <c r="L136" s="8" t="s">
        <v>59</v>
      </c>
    </row>
    <row r="137" spans="1:12">
      <c r="A137" s="9" t="s">
        <v>197</v>
      </c>
      <c r="B137" s="10" t="s">
        <v>35</v>
      </c>
      <c r="C137" s="10" t="s">
        <v>21</v>
      </c>
      <c r="D137" s="10">
        <v>1120.8800000000001</v>
      </c>
      <c r="E137" s="10">
        <v>0.27</v>
      </c>
      <c r="F137" s="10">
        <v>2</v>
      </c>
      <c r="G137" s="12">
        <v>45190</v>
      </c>
      <c r="H137" s="12">
        <v>45195</v>
      </c>
      <c r="I137" s="10" t="s">
        <v>22</v>
      </c>
      <c r="J137" s="10" t="s">
        <v>23</v>
      </c>
      <c r="K137" s="10">
        <v>201.73</v>
      </c>
      <c r="L137" s="13" t="s">
        <v>59</v>
      </c>
    </row>
    <row r="138" spans="1:12">
      <c r="A138" s="4" t="s">
        <v>198</v>
      </c>
      <c r="B138" s="5" t="s">
        <v>14</v>
      </c>
      <c r="C138" s="5" t="s">
        <v>21</v>
      </c>
      <c r="D138" s="5">
        <v>3077.47</v>
      </c>
      <c r="E138" s="5">
        <v>0.39</v>
      </c>
      <c r="F138" s="5">
        <v>7</v>
      </c>
      <c r="G138" s="7">
        <v>45627</v>
      </c>
      <c r="H138" s="7">
        <v>45634</v>
      </c>
      <c r="I138" s="5" t="s">
        <v>42</v>
      </c>
      <c r="J138" s="5" t="s">
        <v>17</v>
      </c>
      <c r="K138" s="5">
        <v>428.41</v>
      </c>
      <c r="L138" s="8" t="s">
        <v>54</v>
      </c>
    </row>
    <row r="139" spans="1:12">
      <c r="A139" s="9" t="s">
        <v>199</v>
      </c>
      <c r="B139" s="10" t="s">
        <v>20</v>
      </c>
      <c r="C139" s="10" t="s">
        <v>28</v>
      </c>
      <c r="D139" s="10">
        <v>3818.9</v>
      </c>
      <c r="E139" s="10">
        <v>0.08</v>
      </c>
      <c r="F139" s="10">
        <v>3</v>
      </c>
      <c r="G139" s="12">
        <v>44953</v>
      </c>
      <c r="H139" s="12">
        <v>44956</v>
      </c>
      <c r="I139" s="10" t="s">
        <v>16</v>
      </c>
      <c r="J139" s="10" t="s">
        <v>29</v>
      </c>
      <c r="K139" s="10">
        <v>497.78</v>
      </c>
      <c r="L139" s="13" t="s">
        <v>54</v>
      </c>
    </row>
    <row r="140" spans="1:12">
      <c r="A140" s="4" t="s">
        <v>200</v>
      </c>
      <c r="B140" s="5" t="s">
        <v>27</v>
      </c>
      <c r="C140" s="5" t="s">
        <v>47</v>
      </c>
      <c r="D140" s="5">
        <v>2205.73</v>
      </c>
      <c r="E140" s="5">
        <v>0.27</v>
      </c>
      <c r="F140" s="5">
        <v>7</v>
      </c>
      <c r="G140" s="7">
        <v>45177</v>
      </c>
      <c r="H140" s="7">
        <v>45180</v>
      </c>
      <c r="I140" s="5" t="s">
        <v>16</v>
      </c>
      <c r="J140" s="5" t="s">
        <v>17</v>
      </c>
      <c r="K140" s="5">
        <v>167.08</v>
      </c>
      <c r="L140" s="8" t="s">
        <v>54</v>
      </c>
    </row>
    <row r="141" spans="1:12">
      <c r="A141" s="9" t="s">
        <v>201</v>
      </c>
      <c r="B141" s="10" t="s">
        <v>35</v>
      </c>
      <c r="C141" s="10" t="s">
        <v>28</v>
      </c>
      <c r="D141" s="10">
        <v>4890.63</v>
      </c>
      <c r="E141" s="10">
        <v>0.1</v>
      </c>
      <c r="F141" s="10">
        <v>5</v>
      </c>
      <c r="G141" s="12">
        <v>45434</v>
      </c>
      <c r="H141" s="12">
        <v>45437</v>
      </c>
      <c r="I141" s="10" t="s">
        <v>16</v>
      </c>
      <c r="J141" s="10" t="s">
        <v>29</v>
      </c>
      <c r="K141" s="10">
        <v>466.35</v>
      </c>
      <c r="L141" s="13" t="s">
        <v>70</v>
      </c>
    </row>
    <row r="142" spans="1:12">
      <c r="A142" s="4" t="s">
        <v>202</v>
      </c>
      <c r="B142" s="5" t="s">
        <v>14</v>
      </c>
      <c r="C142" s="5" t="s">
        <v>28</v>
      </c>
      <c r="D142" s="5">
        <v>380.41</v>
      </c>
      <c r="E142" s="5">
        <v>0.32</v>
      </c>
      <c r="F142" s="5">
        <v>4</v>
      </c>
      <c r="G142" s="7">
        <v>45629</v>
      </c>
      <c r="H142" s="7">
        <v>45633</v>
      </c>
      <c r="I142" s="5" t="s">
        <v>16</v>
      </c>
      <c r="J142" s="5" t="s">
        <v>29</v>
      </c>
      <c r="K142" s="5">
        <v>44.61</v>
      </c>
      <c r="L142" s="8" t="s">
        <v>84</v>
      </c>
    </row>
    <row r="143" spans="1:12">
      <c r="A143" s="9" t="s">
        <v>203</v>
      </c>
      <c r="B143" s="10" t="s">
        <v>20</v>
      </c>
      <c r="C143" s="10" t="s">
        <v>15</v>
      </c>
      <c r="D143" s="10">
        <v>2986.89</v>
      </c>
      <c r="E143" s="10">
        <v>7.0000000000000007E-2</v>
      </c>
      <c r="F143" s="10">
        <v>1</v>
      </c>
      <c r="G143" s="12">
        <v>45054</v>
      </c>
      <c r="H143" s="12">
        <v>45055</v>
      </c>
      <c r="I143" s="10" t="s">
        <v>22</v>
      </c>
      <c r="J143" s="10" t="s">
        <v>29</v>
      </c>
      <c r="K143" s="10">
        <v>699.11</v>
      </c>
      <c r="L143" s="13" t="s">
        <v>87</v>
      </c>
    </row>
    <row r="144" spans="1:12">
      <c r="A144" s="4" t="s">
        <v>204</v>
      </c>
      <c r="B144" s="5" t="s">
        <v>27</v>
      </c>
      <c r="C144" s="5" t="s">
        <v>52</v>
      </c>
      <c r="D144" s="5">
        <v>2959.64</v>
      </c>
      <c r="E144" s="5">
        <v>7.0000000000000007E-2</v>
      </c>
      <c r="F144" s="5">
        <v>8</v>
      </c>
      <c r="G144" s="7">
        <v>45342</v>
      </c>
      <c r="H144" s="7">
        <v>45348</v>
      </c>
      <c r="I144" s="5" t="s">
        <v>42</v>
      </c>
      <c r="J144" s="5" t="s">
        <v>23</v>
      </c>
      <c r="K144" s="5">
        <v>858.27</v>
      </c>
      <c r="L144" s="8" t="s">
        <v>118</v>
      </c>
    </row>
    <row r="145" spans="1:12">
      <c r="A145" s="9" t="s">
        <v>205</v>
      </c>
      <c r="B145" s="10" t="s">
        <v>35</v>
      </c>
      <c r="C145" s="10" t="s">
        <v>52</v>
      </c>
      <c r="D145" s="10">
        <v>277.85000000000002</v>
      </c>
      <c r="E145" s="10">
        <v>0.16</v>
      </c>
      <c r="F145" s="10">
        <v>2</v>
      </c>
      <c r="G145" s="12">
        <v>45345</v>
      </c>
      <c r="H145" s="12">
        <v>45349</v>
      </c>
      <c r="I145" s="10" t="s">
        <v>42</v>
      </c>
      <c r="J145" s="10" t="s">
        <v>17</v>
      </c>
      <c r="K145" s="10">
        <v>46.23</v>
      </c>
      <c r="L145" s="13" t="s">
        <v>30</v>
      </c>
    </row>
    <row r="146" spans="1:12">
      <c r="A146" s="4" t="s">
        <v>206</v>
      </c>
      <c r="B146" s="5" t="s">
        <v>14</v>
      </c>
      <c r="C146" s="5" t="s">
        <v>52</v>
      </c>
      <c r="D146" s="5">
        <v>1200.3900000000001</v>
      </c>
      <c r="E146" s="5">
        <v>0.2</v>
      </c>
      <c r="F146" s="5">
        <v>8</v>
      </c>
      <c r="G146" s="7">
        <v>45582</v>
      </c>
      <c r="H146" s="7">
        <v>45588</v>
      </c>
      <c r="I146" s="5" t="s">
        <v>42</v>
      </c>
      <c r="J146" s="5" t="s">
        <v>29</v>
      </c>
      <c r="K146" s="5">
        <v>171.37</v>
      </c>
      <c r="L146" s="8" t="s">
        <v>54</v>
      </c>
    </row>
    <row r="147" spans="1:12">
      <c r="A147" s="9" t="s">
        <v>207</v>
      </c>
      <c r="B147" s="10" t="s">
        <v>20</v>
      </c>
      <c r="C147" s="10" t="s">
        <v>47</v>
      </c>
      <c r="D147" s="10">
        <v>4537.16</v>
      </c>
      <c r="E147" s="10">
        <v>0.25</v>
      </c>
      <c r="F147" s="10">
        <v>7</v>
      </c>
      <c r="G147" s="12">
        <v>45346</v>
      </c>
      <c r="H147" s="12">
        <v>45352</v>
      </c>
      <c r="I147" s="10" t="s">
        <v>16</v>
      </c>
      <c r="J147" s="10" t="s">
        <v>29</v>
      </c>
      <c r="K147" s="10">
        <v>1201.33</v>
      </c>
      <c r="L147" s="13" t="s">
        <v>30</v>
      </c>
    </row>
    <row r="148" spans="1:12">
      <c r="A148" s="4" t="s">
        <v>208</v>
      </c>
      <c r="B148" s="5" t="s">
        <v>27</v>
      </c>
      <c r="C148" s="5" t="s">
        <v>15</v>
      </c>
      <c r="D148" s="5">
        <v>2768.12</v>
      </c>
      <c r="E148" s="5">
        <v>0.28999999999999998</v>
      </c>
      <c r="F148" s="5">
        <v>3</v>
      </c>
      <c r="G148" s="7">
        <v>45596</v>
      </c>
      <c r="H148" s="7">
        <v>45600</v>
      </c>
      <c r="I148" s="5" t="s">
        <v>22</v>
      </c>
      <c r="J148" s="5" t="s">
        <v>23</v>
      </c>
      <c r="K148" s="5">
        <v>609.51</v>
      </c>
      <c r="L148" s="8" t="s">
        <v>63</v>
      </c>
    </row>
    <row r="149" spans="1:12">
      <c r="A149" s="9" t="s">
        <v>209</v>
      </c>
      <c r="B149" s="10" t="s">
        <v>35</v>
      </c>
      <c r="C149" s="10" t="s">
        <v>15</v>
      </c>
      <c r="D149" s="10">
        <v>2238.29</v>
      </c>
      <c r="E149" s="10">
        <v>0.23</v>
      </c>
      <c r="F149" s="10">
        <v>7</v>
      </c>
      <c r="G149" s="12">
        <v>45155</v>
      </c>
      <c r="H149" s="12">
        <v>45159</v>
      </c>
      <c r="I149" s="10" t="s">
        <v>16</v>
      </c>
      <c r="J149" s="10" t="s">
        <v>29</v>
      </c>
      <c r="K149" s="10">
        <v>248.9</v>
      </c>
      <c r="L149" s="13" t="s">
        <v>18</v>
      </c>
    </row>
    <row r="150" spans="1:12">
      <c r="A150" s="4" t="s">
        <v>210</v>
      </c>
      <c r="B150" s="5" t="s">
        <v>14</v>
      </c>
      <c r="C150" s="5" t="s">
        <v>52</v>
      </c>
      <c r="D150" s="5">
        <v>2135.9299999999998</v>
      </c>
      <c r="E150" s="5">
        <v>0.02</v>
      </c>
      <c r="F150" s="5">
        <v>1</v>
      </c>
      <c r="G150" s="7">
        <v>45470</v>
      </c>
      <c r="H150" s="7">
        <v>45474</v>
      </c>
      <c r="I150" s="5" t="s">
        <v>42</v>
      </c>
      <c r="J150" s="5" t="s">
        <v>29</v>
      </c>
      <c r="K150" s="5">
        <v>394.17</v>
      </c>
      <c r="L150" s="8" t="s">
        <v>59</v>
      </c>
    </row>
    <row r="151" spans="1:12">
      <c r="A151" s="9" t="s">
        <v>211</v>
      </c>
      <c r="B151" s="10" t="s">
        <v>20</v>
      </c>
      <c r="C151" s="10" t="s">
        <v>28</v>
      </c>
      <c r="D151" s="10">
        <v>4451.99</v>
      </c>
      <c r="E151" s="10">
        <v>0.17</v>
      </c>
      <c r="F151" s="10">
        <v>5</v>
      </c>
      <c r="G151" s="12">
        <v>45005</v>
      </c>
      <c r="H151" s="12">
        <v>45010</v>
      </c>
      <c r="I151" s="10" t="s">
        <v>22</v>
      </c>
      <c r="J151" s="10" t="s">
        <v>23</v>
      </c>
      <c r="K151" s="10">
        <v>1205.9000000000001</v>
      </c>
      <c r="L151" s="13" t="s">
        <v>30</v>
      </c>
    </row>
    <row r="152" spans="1:12">
      <c r="A152" s="4" t="s">
        <v>212</v>
      </c>
      <c r="B152" s="5" t="s">
        <v>27</v>
      </c>
      <c r="C152" s="5" t="s">
        <v>47</v>
      </c>
      <c r="D152" s="5">
        <v>1898.45</v>
      </c>
      <c r="E152" s="5">
        <v>0.03</v>
      </c>
      <c r="F152" s="5">
        <v>2</v>
      </c>
      <c r="G152" s="7">
        <v>44982</v>
      </c>
      <c r="H152" s="7">
        <v>44987</v>
      </c>
      <c r="I152" s="5" t="s">
        <v>22</v>
      </c>
      <c r="J152" s="5" t="s">
        <v>23</v>
      </c>
      <c r="K152" s="5">
        <v>408.16</v>
      </c>
      <c r="L152" s="8" t="s">
        <v>113</v>
      </c>
    </row>
    <row r="153" spans="1:12">
      <c r="A153" s="9" t="s">
        <v>213</v>
      </c>
      <c r="B153" s="10" t="s">
        <v>35</v>
      </c>
      <c r="C153" s="10" t="s">
        <v>28</v>
      </c>
      <c r="D153" s="10">
        <v>4309.92</v>
      </c>
      <c r="E153" s="10">
        <v>0.06</v>
      </c>
      <c r="F153" s="10">
        <v>2</v>
      </c>
      <c r="G153" s="12">
        <v>44980</v>
      </c>
      <c r="H153" s="12">
        <v>44983</v>
      </c>
      <c r="I153" s="10" t="s">
        <v>16</v>
      </c>
      <c r="J153" s="10" t="s">
        <v>23</v>
      </c>
      <c r="K153" s="10">
        <v>617.32000000000005</v>
      </c>
      <c r="L153" s="13" t="s">
        <v>87</v>
      </c>
    </row>
    <row r="154" spans="1:12">
      <c r="A154" s="4" t="s">
        <v>214</v>
      </c>
      <c r="B154" s="5" t="s">
        <v>14</v>
      </c>
      <c r="C154" s="5" t="s">
        <v>21</v>
      </c>
      <c r="D154" s="5">
        <v>1615.04</v>
      </c>
      <c r="E154" s="5">
        <v>0.05</v>
      </c>
      <c r="F154" s="5">
        <v>3</v>
      </c>
      <c r="G154" s="7">
        <v>45340</v>
      </c>
      <c r="H154" s="7">
        <v>45342</v>
      </c>
      <c r="I154" s="5" t="s">
        <v>22</v>
      </c>
      <c r="J154" s="5" t="s">
        <v>17</v>
      </c>
      <c r="K154" s="5">
        <v>253.65</v>
      </c>
      <c r="L154" s="8" t="s">
        <v>59</v>
      </c>
    </row>
    <row r="155" spans="1:12">
      <c r="A155" s="9" t="s">
        <v>215</v>
      </c>
      <c r="B155" s="10" t="s">
        <v>20</v>
      </c>
      <c r="C155" s="10" t="s">
        <v>15</v>
      </c>
      <c r="D155" s="10">
        <v>2704.37</v>
      </c>
      <c r="E155" s="10">
        <v>0.08</v>
      </c>
      <c r="F155" s="10">
        <v>7</v>
      </c>
      <c r="G155" s="12">
        <v>45399</v>
      </c>
      <c r="H155" s="12">
        <v>45405</v>
      </c>
      <c r="I155" s="10" t="s">
        <v>22</v>
      </c>
      <c r="J155" s="10" t="s">
        <v>17</v>
      </c>
      <c r="K155" s="10">
        <v>742.76</v>
      </c>
      <c r="L155" s="13" t="s">
        <v>70</v>
      </c>
    </row>
    <row r="156" spans="1:12">
      <c r="A156" s="4" t="s">
        <v>216</v>
      </c>
      <c r="B156" s="5" t="s">
        <v>27</v>
      </c>
      <c r="C156" s="5" t="s">
        <v>15</v>
      </c>
      <c r="D156" s="5">
        <v>804.72</v>
      </c>
      <c r="E156" s="5">
        <v>0.41</v>
      </c>
      <c r="F156" s="5">
        <v>2</v>
      </c>
      <c r="G156" s="7">
        <v>45458</v>
      </c>
      <c r="H156" s="7">
        <v>45460</v>
      </c>
      <c r="I156" s="5" t="s">
        <v>22</v>
      </c>
      <c r="J156" s="5" t="s">
        <v>17</v>
      </c>
      <c r="K156" s="5">
        <v>182.68</v>
      </c>
      <c r="L156" s="8" t="s">
        <v>113</v>
      </c>
    </row>
    <row r="157" spans="1:12">
      <c r="A157" s="9" t="s">
        <v>217</v>
      </c>
      <c r="B157" s="10" t="s">
        <v>35</v>
      </c>
      <c r="C157" s="10" t="s">
        <v>28</v>
      </c>
      <c r="D157" s="10">
        <v>4142.6499999999996</v>
      </c>
      <c r="E157" s="10">
        <v>0.31</v>
      </c>
      <c r="F157" s="10">
        <v>4</v>
      </c>
      <c r="G157" s="12">
        <v>45128</v>
      </c>
      <c r="H157" s="12">
        <v>45129</v>
      </c>
      <c r="I157" s="10" t="s">
        <v>16</v>
      </c>
      <c r="J157" s="10" t="s">
        <v>29</v>
      </c>
      <c r="K157" s="10">
        <v>735.37</v>
      </c>
      <c r="L157" s="13" t="s">
        <v>24</v>
      </c>
    </row>
    <row r="158" spans="1:12">
      <c r="A158" s="4" t="s">
        <v>218</v>
      </c>
      <c r="B158" s="5" t="s">
        <v>14</v>
      </c>
      <c r="C158" s="5" t="s">
        <v>47</v>
      </c>
      <c r="D158" s="5">
        <v>3706.28</v>
      </c>
      <c r="E158" s="5">
        <v>0.25</v>
      </c>
      <c r="F158" s="5">
        <v>4</v>
      </c>
      <c r="G158" s="7">
        <v>45149</v>
      </c>
      <c r="H158" s="7">
        <v>45156</v>
      </c>
      <c r="I158" s="5" t="s">
        <v>16</v>
      </c>
      <c r="J158" s="5" t="s">
        <v>17</v>
      </c>
      <c r="K158" s="5">
        <v>813.65</v>
      </c>
      <c r="L158" s="8" t="s">
        <v>59</v>
      </c>
    </row>
    <row r="159" spans="1:12">
      <c r="A159" s="9" t="s">
        <v>219</v>
      </c>
      <c r="B159" s="10" t="s">
        <v>20</v>
      </c>
      <c r="C159" s="10" t="s">
        <v>15</v>
      </c>
      <c r="D159" s="10">
        <v>2697.46</v>
      </c>
      <c r="E159" s="10">
        <v>0.37</v>
      </c>
      <c r="F159" s="10">
        <v>1</v>
      </c>
      <c r="G159" s="12">
        <v>45055</v>
      </c>
      <c r="H159" s="12">
        <v>45058</v>
      </c>
      <c r="I159" s="10" t="s">
        <v>22</v>
      </c>
      <c r="J159" s="10" t="s">
        <v>29</v>
      </c>
      <c r="K159" s="10">
        <v>597.1</v>
      </c>
      <c r="L159" s="13" t="s">
        <v>74</v>
      </c>
    </row>
    <row r="160" spans="1:12">
      <c r="A160" s="4" t="s">
        <v>220</v>
      </c>
      <c r="B160" s="5" t="s">
        <v>27</v>
      </c>
      <c r="C160" s="5" t="s">
        <v>28</v>
      </c>
      <c r="D160" s="5">
        <v>226.92</v>
      </c>
      <c r="E160" s="5">
        <v>0.48</v>
      </c>
      <c r="F160" s="5">
        <v>7</v>
      </c>
      <c r="G160" s="7">
        <v>45256</v>
      </c>
      <c r="H160" s="7">
        <v>45262</v>
      </c>
      <c r="I160" s="5" t="s">
        <v>16</v>
      </c>
      <c r="J160" s="5" t="s">
        <v>17</v>
      </c>
      <c r="K160" s="5">
        <v>43.53</v>
      </c>
      <c r="L160" s="8" t="s">
        <v>74</v>
      </c>
    </row>
    <row r="161" spans="1:12">
      <c r="A161" s="9" t="s">
        <v>221</v>
      </c>
      <c r="B161" s="10" t="s">
        <v>35</v>
      </c>
      <c r="C161" s="10" t="s">
        <v>47</v>
      </c>
      <c r="D161" s="10">
        <v>2458.16</v>
      </c>
      <c r="E161" s="10">
        <v>0.21</v>
      </c>
      <c r="F161" s="10">
        <v>4</v>
      </c>
      <c r="G161" s="12">
        <v>45584</v>
      </c>
      <c r="H161" s="12">
        <v>45585</v>
      </c>
      <c r="I161" s="10" t="s">
        <v>22</v>
      </c>
      <c r="J161" s="10" t="s">
        <v>29</v>
      </c>
      <c r="K161" s="10">
        <v>508.56</v>
      </c>
      <c r="L161" s="13" t="s">
        <v>63</v>
      </c>
    </row>
    <row r="162" spans="1:12">
      <c r="A162" s="4" t="s">
        <v>222</v>
      </c>
      <c r="B162" s="5" t="s">
        <v>14</v>
      </c>
      <c r="C162" s="5" t="s">
        <v>28</v>
      </c>
      <c r="D162" s="5">
        <v>1203.46</v>
      </c>
      <c r="E162" s="5">
        <v>0.18</v>
      </c>
      <c r="F162" s="5">
        <v>1</v>
      </c>
      <c r="G162" s="7">
        <v>45367</v>
      </c>
      <c r="H162" s="7">
        <v>45372</v>
      </c>
      <c r="I162" s="5" t="s">
        <v>42</v>
      </c>
      <c r="J162" s="5" t="s">
        <v>29</v>
      </c>
      <c r="K162" s="5">
        <v>166.4</v>
      </c>
      <c r="L162" s="8" t="s">
        <v>37</v>
      </c>
    </row>
    <row r="163" spans="1:12">
      <c r="A163" s="9" t="s">
        <v>223</v>
      </c>
      <c r="B163" s="10" t="s">
        <v>20</v>
      </c>
      <c r="C163" s="10" t="s">
        <v>47</v>
      </c>
      <c r="D163" s="10">
        <v>2125.5300000000002</v>
      </c>
      <c r="E163" s="10">
        <v>0.49</v>
      </c>
      <c r="F163" s="10">
        <v>3</v>
      </c>
      <c r="G163" s="12">
        <v>45054</v>
      </c>
      <c r="H163" s="12">
        <v>45058</v>
      </c>
      <c r="I163" s="10" t="s">
        <v>42</v>
      </c>
      <c r="J163" s="10" t="s">
        <v>23</v>
      </c>
      <c r="K163" s="10">
        <v>292.08</v>
      </c>
      <c r="L163" s="13" t="s">
        <v>77</v>
      </c>
    </row>
    <row r="164" spans="1:12">
      <c r="A164" s="4" t="s">
        <v>224</v>
      </c>
      <c r="B164" s="5" t="s">
        <v>27</v>
      </c>
      <c r="C164" s="5" t="s">
        <v>52</v>
      </c>
      <c r="D164" s="5">
        <v>4296.49</v>
      </c>
      <c r="E164" s="5">
        <v>0.39</v>
      </c>
      <c r="F164" s="5">
        <v>8</v>
      </c>
      <c r="G164" s="7">
        <v>45067</v>
      </c>
      <c r="H164" s="7">
        <v>45074</v>
      </c>
      <c r="I164" s="5" t="s">
        <v>22</v>
      </c>
      <c r="J164" s="5" t="s">
        <v>17</v>
      </c>
      <c r="K164" s="5">
        <v>579.12</v>
      </c>
      <c r="L164" s="8" t="s">
        <v>56</v>
      </c>
    </row>
    <row r="165" spans="1:12">
      <c r="A165" s="9" t="s">
        <v>225</v>
      </c>
      <c r="B165" s="10" t="s">
        <v>35</v>
      </c>
      <c r="C165" s="10" t="s">
        <v>47</v>
      </c>
      <c r="D165" s="10">
        <v>3871.06</v>
      </c>
      <c r="E165" s="10">
        <v>0.39</v>
      </c>
      <c r="F165" s="10">
        <v>4</v>
      </c>
      <c r="G165" s="12">
        <v>45396</v>
      </c>
      <c r="H165" s="12">
        <v>45403</v>
      </c>
      <c r="I165" s="10" t="s">
        <v>42</v>
      </c>
      <c r="J165" s="10" t="s">
        <v>23</v>
      </c>
      <c r="K165" s="10">
        <v>230.99</v>
      </c>
      <c r="L165" s="13" t="s">
        <v>37</v>
      </c>
    </row>
    <row r="166" spans="1:12">
      <c r="A166" s="4" t="s">
        <v>226</v>
      </c>
      <c r="B166" s="5" t="s">
        <v>14</v>
      </c>
      <c r="C166" s="5" t="s">
        <v>21</v>
      </c>
      <c r="D166" s="5">
        <v>1285.57</v>
      </c>
      <c r="E166" s="5">
        <v>0.3</v>
      </c>
      <c r="F166" s="5">
        <v>1</v>
      </c>
      <c r="G166" s="7">
        <v>45508</v>
      </c>
      <c r="H166" s="7">
        <v>45509</v>
      </c>
      <c r="I166" s="5" t="s">
        <v>42</v>
      </c>
      <c r="J166" s="5" t="s">
        <v>29</v>
      </c>
      <c r="K166" s="5">
        <v>330.45</v>
      </c>
      <c r="L166" s="8" t="s">
        <v>82</v>
      </c>
    </row>
    <row r="167" spans="1:12">
      <c r="A167" s="9" t="s">
        <v>227</v>
      </c>
      <c r="B167" s="10" t="s">
        <v>20</v>
      </c>
      <c r="C167" s="10" t="s">
        <v>52</v>
      </c>
      <c r="D167" s="10">
        <v>4926.2700000000004</v>
      </c>
      <c r="E167" s="10">
        <v>0.25</v>
      </c>
      <c r="F167" s="10">
        <v>7</v>
      </c>
      <c r="G167" s="12">
        <v>45087</v>
      </c>
      <c r="H167" s="12">
        <v>45088</v>
      </c>
      <c r="I167" s="10" t="s">
        <v>42</v>
      </c>
      <c r="J167" s="10" t="s">
        <v>29</v>
      </c>
      <c r="K167" s="10">
        <v>440.26</v>
      </c>
      <c r="L167" s="13" t="s">
        <v>56</v>
      </c>
    </row>
    <row r="168" spans="1:12">
      <c r="A168" s="4" t="s">
        <v>228</v>
      </c>
      <c r="B168" s="5" t="s">
        <v>27</v>
      </c>
      <c r="C168" s="5" t="s">
        <v>28</v>
      </c>
      <c r="D168" s="5">
        <v>4525.7299999999996</v>
      </c>
      <c r="E168" s="5">
        <v>0.28000000000000003</v>
      </c>
      <c r="F168" s="5">
        <v>8</v>
      </c>
      <c r="G168" s="7">
        <v>45375</v>
      </c>
      <c r="H168" s="7">
        <v>45380</v>
      </c>
      <c r="I168" s="5" t="s">
        <v>22</v>
      </c>
      <c r="J168" s="5" t="s">
        <v>17</v>
      </c>
      <c r="K168" s="5">
        <v>332.86</v>
      </c>
      <c r="L168" s="8" t="s">
        <v>74</v>
      </c>
    </row>
    <row r="169" spans="1:12">
      <c r="A169" s="9" t="s">
        <v>229</v>
      </c>
      <c r="B169" s="10" t="s">
        <v>35</v>
      </c>
      <c r="C169" s="10" t="s">
        <v>52</v>
      </c>
      <c r="D169" s="10">
        <v>2690.5</v>
      </c>
      <c r="E169" s="10">
        <v>0.33</v>
      </c>
      <c r="F169" s="10">
        <v>5</v>
      </c>
      <c r="G169" s="12">
        <v>45441</v>
      </c>
      <c r="H169" s="12">
        <v>45444</v>
      </c>
      <c r="I169" s="10" t="s">
        <v>16</v>
      </c>
      <c r="J169" s="10" t="s">
        <v>29</v>
      </c>
      <c r="K169" s="10">
        <v>418.96</v>
      </c>
      <c r="L169" s="13" t="s">
        <v>56</v>
      </c>
    </row>
    <row r="170" spans="1:12">
      <c r="A170" s="4" t="s">
        <v>230</v>
      </c>
      <c r="B170" s="5" t="s">
        <v>14</v>
      </c>
      <c r="C170" s="5" t="s">
        <v>52</v>
      </c>
      <c r="D170" s="5">
        <v>2697.74</v>
      </c>
      <c r="E170" s="5">
        <v>0.19</v>
      </c>
      <c r="F170" s="5">
        <v>9</v>
      </c>
      <c r="G170" s="7">
        <v>45315</v>
      </c>
      <c r="H170" s="7">
        <v>45319</v>
      </c>
      <c r="I170" s="5" t="s">
        <v>22</v>
      </c>
      <c r="J170" s="5" t="s">
        <v>17</v>
      </c>
      <c r="K170" s="5">
        <v>458.18</v>
      </c>
      <c r="L170" s="8" t="s">
        <v>74</v>
      </c>
    </row>
    <row r="171" spans="1:12">
      <c r="A171" s="9" t="s">
        <v>231</v>
      </c>
      <c r="B171" s="10" t="s">
        <v>20</v>
      </c>
      <c r="C171" s="10" t="s">
        <v>28</v>
      </c>
      <c r="D171" s="10">
        <v>4516.2</v>
      </c>
      <c r="E171" s="10">
        <v>0.39</v>
      </c>
      <c r="F171" s="10">
        <v>7</v>
      </c>
      <c r="G171" s="12">
        <v>45450</v>
      </c>
      <c r="H171" s="12">
        <v>45457</v>
      </c>
      <c r="I171" s="10" t="s">
        <v>22</v>
      </c>
      <c r="J171" s="10" t="s">
        <v>17</v>
      </c>
      <c r="K171" s="10">
        <v>522.95000000000005</v>
      </c>
      <c r="L171" s="13" t="s">
        <v>24</v>
      </c>
    </row>
    <row r="172" spans="1:12">
      <c r="A172" s="4" t="s">
        <v>232</v>
      </c>
      <c r="B172" s="5" t="s">
        <v>27</v>
      </c>
      <c r="C172" s="5" t="s">
        <v>28</v>
      </c>
      <c r="D172" s="5">
        <v>3217.11</v>
      </c>
      <c r="E172" s="5">
        <v>0.45</v>
      </c>
      <c r="F172" s="5">
        <v>4</v>
      </c>
      <c r="G172" s="7">
        <v>45215</v>
      </c>
      <c r="H172" s="7">
        <v>45219</v>
      </c>
      <c r="I172" s="5" t="s">
        <v>16</v>
      </c>
      <c r="J172" s="5" t="s">
        <v>17</v>
      </c>
      <c r="K172" s="5">
        <v>930.19</v>
      </c>
      <c r="L172" s="8" t="s">
        <v>59</v>
      </c>
    </row>
    <row r="173" spans="1:12">
      <c r="A173" s="9" t="s">
        <v>233</v>
      </c>
      <c r="B173" s="10" t="s">
        <v>35</v>
      </c>
      <c r="C173" s="10" t="s">
        <v>21</v>
      </c>
      <c r="D173" s="10">
        <v>2729.77</v>
      </c>
      <c r="E173" s="10">
        <v>0.28999999999999998</v>
      </c>
      <c r="F173" s="10">
        <v>9</v>
      </c>
      <c r="G173" s="12">
        <v>45415</v>
      </c>
      <c r="H173" s="12">
        <v>45418</v>
      </c>
      <c r="I173" s="10" t="s">
        <v>22</v>
      </c>
      <c r="J173" s="10" t="s">
        <v>23</v>
      </c>
      <c r="K173" s="10">
        <v>250.2</v>
      </c>
      <c r="L173" s="13" t="s">
        <v>54</v>
      </c>
    </row>
    <row r="174" spans="1:12">
      <c r="A174" s="4" t="s">
        <v>234</v>
      </c>
      <c r="B174" s="5" t="s">
        <v>14</v>
      </c>
      <c r="C174" s="5" t="s">
        <v>28</v>
      </c>
      <c r="D174" s="5">
        <v>3770.83</v>
      </c>
      <c r="E174" s="5">
        <v>0.19</v>
      </c>
      <c r="F174" s="5">
        <v>6</v>
      </c>
      <c r="G174" s="7">
        <v>44953</v>
      </c>
      <c r="H174" s="7">
        <v>44959</v>
      </c>
      <c r="I174" s="5" t="s">
        <v>22</v>
      </c>
      <c r="J174" s="5" t="s">
        <v>17</v>
      </c>
      <c r="K174" s="5">
        <v>729.42</v>
      </c>
      <c r="L174" s="8" t="s">
        <v>18</v>
      </c>
    </row>
    <row r="175" spans="1:12">
      <c r="A175" s="9" t="s">
        <v>235</v>
      </c>
      <c r="B175" s="10" t="s">
        <v>20</v>
      </c>
      <c r="C175" s="10" t="s">
        <v>15</v>
      </c>
      <c r="D175" s="10">
        <v>1251.98</v>
      </c>
      <c r="E175" s="10">
        <v>0.35</v>
      </c>
      <c r="F175" s="10">
        <v>8</v>
      </c>
      <c r="G175" s="12">
        <v>45295</v>
      </c>
      <c r="H175" s="12">
        <v>45300</v>
      </c>
      <c r="I175" s="10" t="s">
        <v>22</v>
      </c>
      <c r="J175" s="10" t="s">
        <v>17</v>
      </c>
      <c r="K175" s="10">
        <v>253.73</v>
      </c>
      <c r="L175" s="13" t="s">
        <v>37</v>
      </c>
    </row>
    <row r="176" spans="1:12">
      <c r="A176" s="4" t="s">
        <v>236</v>
      </c>
      <c r="B176" s="5" t="s">
        <v>27</v>
      </c>
      <c r="C176" s="5" t="s">
        <v>15</v>
      </c>
      <c r="D176" s="5">
        <v>4404.05</v>
      </c>
      <c r="E176" s="5">
        <v>0.09</v>
      </c>
      <c r="F176" s="5">
        <v>2</v>
      </c>
      <c r="G176" s="7">
        <v>44939</v>
      </c>
      <c r="H176" s="7">
        <v>44945</v>
      </c>
      <c r="I176" s="5" t="s">
        <v>42</v>
      </c>
      <c r="J176" s="5" t="s">
        <v>17</v>
      </c>
      <c r="K176" s="5">
        <v>941.87</v>
      </c>
      <c r="L176" s="8" t="s">
        <v>82</v>
      </c>
    </row>
    <row r="177" spans="1:12">
      <c r="A177" s="9" t="s">
        <v>237</v>
      </c>
      <c r="B177" s="10" t="s">
        <v>35</v>
      </c>
      <c r="C177" s="10" t="s">
        <v>21</v>
      </c>
      <c r="D177" s="10">
        <v>2703.93</v>
      </c>
      <c r="E177" s="10">
        <v>0.48</v>
      </c>
      <c r="F177" s="10">
        <v>5</v>
      </c>
      <c r="G177" s="12">
        <v>45292</v>
      </c>
      <c r="H177" s="12">
        <v>45297</v>
      </c>
      <c r="I177" s="10" t="s">
        <v>22</v>
      </c>
      <c r="J177" s="10" t="s">
        <v>17</v>
      </c>
      <c r="K177" s="10">
        <v>671.84</v>
      </c>
      <c r="L177" s="13" t="s">
        <v>77</v>
      </c>
    </row>
    <row r="178" spans="1:12">
      <c r="A178" s="4" t="s">
        <v>238</v>
      </c>
      <c r="B178" s="5" t="s">
        <v>14</v>
      </c>
      <c r="C178" s="5" t="s">
        <v>47</v>
      </c>
      <c r="D178" s="5">
        <v>3057.15</v>
      </c>
      <c r="E178" s="5">
        <v>0.33</v>
      </c>
      <c r="F178" s="5">
        <v>3</v>
      </c>
      <c r="G178" s="7">
        <v>45049</v>
      </c>
      <c r="H178" s="7">
        <v>45050</v>
      </c>
      <c r="I178" s="5" t="s">
        <v>22</v>
      </c>
      <c r="J178" s="5" t="s">
        <v>17</v>
      </c>
      <c r="K178" s="5">
        <v>814</v>
      </c>
      <c r="L178" s="8" t="s">
        <v>56</v>
      </c>
    </row>
    <row r="179" spans="1:12">
      <c r="A179" s="9" t="s">
        <v>239</v>
      </c>
      <c r="B179" s="10" t="s">
        <v>20</v>
      </c>
      <c r="C179" s="10" t="s">
        <v>47</v>
      </c>
      <c r="D179" s="10">
        <v>540.72</v>
      </c>
      <c r="E179" s="10">
        <v>0.03</v>
      </c>
      <c r="F179" s="10">
        <v>5</v>
      </c>
      <c r="G179" s="12">
        <v>45641</v>
      </c>
      <c r="H179" s="12">
        <v>45643</v>
      </c>
      <c r="I179" s="10" t="s">
        <v>16</v>
      </c>
      <c r="J179" s="10" t="s">
        <v>23</v>
      </c>
      <c r="K179" s="10">
        <v>66.459999999999994</v>
      </c>
      <c r="L179" s="13" t="s">
        <v>54</v>
      </c>
    </row>
    <row r="180" spans="1:12">
      <c r="A180" s="4" t="s">
        <v>240</v>
      </c>
      <c r="B180" s="5" t="s">
        <v>27</v>
      </c>
      <c r="C180" s="5" t="s">
        <v>15</v>
      </c>
      <c r="D180" s="5">
        <v>1616.59</v>
      </c>
      <c r="E180" s="5">
        <v>0.26</v>
      </c>
      <c r="F180" s="5">
        <v>8</v>
      </c>
      <c r="G180" s="7">
        <v>45180</v>
      </c>
      <c r="H180" s="7">
        <v>45187</v>
      </c>
      <c r="I180" s="5" t="s">
        <v>42</v>
      </c>
      <c r="J180" s="5" t="s">
        <v>17</v>
      </c>
      <c r="K180" s="5">
        <v>479.33</v>
      </c>
      <c r="L180" s="8" t="s">
        <v>30</v>
      </c>
    </row>
    <row r="181" spans="1:12">
      <c r="A181" s="9" t="s">
        <v>241</v>
      </c>
      <c r="B181" s="10" t="s">
        <v>35</v>
      </c>
      <c r="C181" s="10" t="s">
        <v>28</v>
      </c>
      <c r="D181" s="10">
        <v>2191</v>
      </c>
      <c r="E181" s="10">
        <v>0.38</v>
      </c>
      <c r="F181" s="10">
        <v>6</v>
      </c>
      <c r="G181" s="12">
        <v>45641</v>
      </c>
      <c r="H181" s="12">
        <v>45643</v>
      </c>
      <c r="I181" s="10" t="s">
        <v>42</v>
      </c>
      <c r="J181" s="10" t="s">
        <v>29</v>
      </c>
      <c r="K181" s="10">
        <v>336.28</v>
      </c>
      <c r="L181" s="13" t="s">
        <v>113</v>
      </c>
    </row>
    <row r="182" spans="1:12">
      <c r="A182" s="4" t="s">
        <v>242</v>
      </c>
      <c r="B182" s="5" t="s">
        <v>14</v>
      </c>
      <c r="C182" s="5" t="s">
        <v>21</v>
      </c>
      <c r="D182" s="5">
        <v>2128.16</v>
      </c>
      <c r="E182" s="5">
        <v>0.14000000000000001</v>
      </c>
      <c r="F182" s="5">
        <v>1</v>
      </c>
      <c r="G182" s="7">
        <v>45602</v>
      </c>
      <c r="H182" s="7">
        <v>45607</v>
      </c>
      <c r="I182" s="5" t="s">
        <v>22</v>
      </c>
      <c r="J182" s="5" t="s">
        <v>29</v>
      </c>
      <c r="K182" s="5">
        <v>523.61</v>
      </c>
      <c r="L182" s="8" t="s">
        <v>84</v>
      </c>
    </row>
    <row r="183" spans="1:12">
      <c r="A183" s="9" t="s">
        <v>243</v>
      </c>
      <c r="B183" s="10" t="s">
        <v>20</v>
      </c>
      <c r="C183" s="10" t="s">
        <v>47</v>
      </c>
      <c r="D183" s="10">
        <v>3913.59</v>
      </c>
      <c r="E183" s="10">
        <v>0.03</v>
      </c>
      <c r="F183" s="10">
        <v>7</v>
      </c>
      <c r="G183" s="12">
        <v>45287</v>
      </c>
      <c r="H183" s="12">
        <v>45290</v>
      </c>
      <c r="I183" s="10" t="s">
        <v>42</v>
      </c>
      <c r="J183" s="10" t="s">
        <v>17</v>
      </c>
      <c r="K183" s="10">
        <v>235.73</v>
      </c>
      <c r="L183" s="13" t="s">
        <v>59</v>
      </c>
    </row>
    <row r="184" spans="1:12">
      <c r="A184" s="4" t="s">
        <v>244</v>
      </c>
      <c r="B184" s="5" t="s">
        <v>27</v>
      </c>
      <c r="C184" s="5" t="s">
        <v>47</v>
      </c>
      <c r="D184" s="5">
        <v>1483.38</v>
      </c>
      <c r="E184" s="5">
        <v>0.24</v>
      </c>
      <c r="F184" s="5">
        <v>1</v>
      </c>
      <c r="G184" s="7">
        <v>45112</v>
      </c>
      <c r="H184" s="7">
        <v>45118</v>
      </c>
      <c r="I184" s="5" t="s">
        <v>42</v>
      </c>
      <c r="J184" s="5" t="s">
        <v>17</v>
      </c>
      <c r="K184" s="5">
        <v>350.59</v>
      </c>
      <c r="L184" s="8" t="s">
        <v>70</v>
      </c>
    </row>
    <row r="185" spans="1:12">
      <c r="A185" s="9" t="s">
        <v>245</v>
      </c>
      <c r="B185" s="10" t="s">
        <v>35</v>
      </c>
      <c r="C185" s="10" t="s">
        <v>52</v>
      </c>
      <c r="D185" s="10">
        <v>992.34</v>
      </c>
      <c r="E185" s="10">
        <v>0.42</v>
      </c>
      <c r="F185" s="10">
        <v>1</v>
      </c>
      <c r="G185" s="12">
        <v>45246</v>
      </c>
      <c r="H185" s="12">
        <v>45249</v>
      </c>
      <c r="I185" s="10" t="s">
        <v>16</v>
      </c>
      <c r="J185" s="10" t="s">
        <v>17</v>
      </c>
      <c r="K185" s="10">
        <v>255.64</v>
      </c>
      <c r="L185" s="13" t="s">
        <v>84</v>
      </c>
    </row>
    <row r="186" spans="1:12">
      <c r="A186" s="4" t="s">
        <v>246</v>
      </c>
      <c r="B186" s="5" t="s">
        <v>14</v>
      </c>
      <c r="C186" s="5" t="s">
        <v>15</v>
      </c>
      <c r="D186" s="5">
        <v>2954.82</v>
      </c>
      <c r="E186" s="5">
        <v>0.13</v>
      </c>
      <c r="F186" s="5">
        <v>4</v>
      </c>
      <c r="G186" s="7">
        <v>45360</v>
      </c>
      <c r="H186" s="7">
        <v>45362</v>
      </c>
      <c r="I186" s="5" t="s">
        <v>16</v>
      </c>
      <c r="J186" s="5" t="s">
        <v>17</v>
      </c>
      <c r="K186" s="5">
        <v>227.77</v>
      </c>
      <c r="L186" s="8" t="s">
        <v>77</v>
      </c>
    </row>
    <row r="187" spans="1:12">
      <c r="A187" s="9" t="s">
        <v>247</v>
      </c>
      <c r="B187" s="10" t="s">
        <v>20</v>
      </c>
      <c r="C187" s="10" t="s">
        <v>28</v>
      </c>
      <c r="D187" s="10">
        <v>3113.57</v>
      </c>
      <c r="E187" s="10">
        <v>0.36</v>
      </c>
      <c r="F187" s="10">
        <v>9</v>
      </c>
      <c r="G187" s="12">
        <v>45560</v>
      </c>
      <c r="H187" s="12">
        <v>45566</v>
      </c>
      <c r="I187" s="10" t="s">
        <v>42</v>
      </c>
      <c r="J187" s="10" t="s">
        <v>17</v>
      </c>
      <c r="K187" s="10">
        <v>393.92</v>
      </c>
      <c r="L187" s="13" t="s">
        <v>63</v>
      </c>
    </row>
    <row r="188" spans="1:12">
      <c r="A188" s="4" t="s">
        <v>248</v>
      </c>
      <c r="B188" s="5" t="s">
        <v>27</v>
      </c>
      <c r="C188" s="5" t="s">
        <v>21</v>
      </c>
      <c r="D188" s="5">
        <v>695.76</v>
      </c>
      <c r="E188" s="5">
        <v>0.2</v>
      </c>
      <c r="F188" s="5">
        <v>8</v>
      </c>
      <c r="G188" s="7">
        <v>45617</v>
      </c>
      <c r="H188" s="7">
        <v>45620</v>
      </c>
      <c r="I188" s="5" t="s">
        <v>16</v>
      </c>
      <c r="J188" s="5" t="s">
        <v>29</v>
      </c>
      <c r="K188" s="5">
        <v>112.67</v>
      </c>
      <c r="L188" s="8" t="s">
        <v>82</v>
      </c>
    </row>
    <row r="189" spans="1:12">
      <c r="A189" s="9" t="s">
        <v>249</v>
      </c>
      <c r="B189" s="10" t="s">
        <v>35</v>
      </c>
      <c r="C189" s="10" t="s">
        <v>47</v>
      </c>
      <c r="D189" s="10">
        <v>112.1</v>
      </c>
      <c r="E189" s="10">
        <v>0.03</v>
      </c>
      <c r="F189" s="10">
        <v>3</v>
      </c>
      <c r="G189" s="12">
        <v>45570</v>
      </c>
      <c r="H189" s="12">
        <v>45573</v>
      </c>
      <c r="I189" s="10" t="s">
        <v>22</v>
      </c>
      <c r="J189" s="10" t="s">
        <v>17</v>
      </c>
      <c r="K189" s="10">
        <v>27.01</v>
      </c>
      <c r="L189" s="13" t="s">
        <v>84</v>
      </c>
    </row>
    <row r="190" spans="1:12">
      <c r="A190" s="4" t="s">
        <v>250</v>
      </c>
      <c r="B190" s="5" t="s">
        <v>14</v>
      </c>
      <c r="C190" s="5" t="s">
        <v>52</v>
      </c>
      <c r="D190" s="5">
        <v>4596.4799999999996</v>
      </c>
      <c r="E190" s="5">
        <v>0.15</v>
      </c>
      <c r="F190" s="5">
        <v>6</v>
      </c>
      <c r="G190" s="7">
        <v>45226</v>
      </c>
      <c r="H190" s="7">
        <v>45233</v>
      </c>
      <c r="I190" s="5" t="s">
        <v>16</v>
      </c>
      <c r="J190" s="5" t="s">
        <v>17</v>
      </c>
      <c r="K190" s="5">
        <v>838.45</v>
      </c>
      <c r="L190" s="8" t="s">
        <v>30</v>
      </c>
    </row>
    <row r="191" spans="1:12">
      <c r="A191" s="9" t="s">
        <v>251</v>
      </c>
      <c r="B191" s="10" t="s">
        <v>20</v>
      </c>
      <c r="C191" s="10" t="s">
        <v>15</v>
      </c>
      <c r="D191" s="10">
        <v>490.22</v>
      </c>
      <c r="E191" s="10">
        <v>0.16</v>
      </c>
      <c r="F191" s="10">
        <v>1</v>
      </c>
      <c r="G191" s="12">
        <v>45456</v>
      </c>
      <c r="H191" s="12">
        <v>45463</v>
      </c>
      <c r="I191" s="10" t="s">
        <v>22</v>
      </c>
      <c r="J191" s="10" t="s">
        <v>17</v>
      </c>
      <c r="K191" s="10">
        <v>101.89</v>
      </c>
      <c r="L191" s="13" t="s">
        <v>77</v>
      </c>
    </row>
    <row r="192" spans="1:12">
      <c r="A192" s="4" t="s">
        <v>252</v>
      </c>
      <c r="B192" s="5" t="s">
        <v>27</v>
      </c>
      <c r="C192" s="5" t="s">
        <v>15</v>
      </c>
      <c r="D192" s="5">
        <v>4499.55</v>
      </c>
      <c r="E192" s="5">
        <v>0.45</v>
      </c>
      <c r="F192" s="5">
        <v>1</v>
      </c>
      <c r="G192" s="7">
        <v>44944</v>
      </c>
      <c r="H192" s="7">
        <v>44950</v>
      </c>
      <c r="I192" s="5" t="s">
        <v>16</v>
      </c>
      <c r="J192" s="5" t="s">
        <v>29</v>
      </c>
      <c r="K192" s="5">
        <v>639.71</v>
      </c>
      <c r="L192" s="8" t="s">
        <v>84</v>
      </c>
    </row>
    <row r="193" spans="1:12">
      <c r="A193" s="9" t="s">
        <v>253</v>
      </c>
      <c r="B193" s="10" t="s">
        <v>35</v>
      </c>
      <c r="C193" s="10" t="s">
        <v>21</v>
      </c>
      <c r="D193" s="10">
        <v>2056.15</v>
      </c>
      <c r="E193" s="10">
        <v>0.49</v>
      </c>
      <c r="F193" s="10">
        <v>6</v>
      </c>
      <c r="G193" s="12">
        <v>45402</v>
      </c>
      <c r="H193" s="12">
        <v>45406</v>
      </c>
      <c r="I193" s="10" t="s">
        <v>42</v>
      </c>
      <c r="J193" s="10" t="s">
        <v>29</v>
      </c>
      <c r="K193" s="10">
        <v>549.92999999999995</v>
      </c>
      <c r="L193" s="13" t="s">
        <v>30</v>
      </c>
    </row>
    <row r="194" spans="1:12">
      <c r="A194" s="4" t="s">
        <v>254</v>
      </c>
      <c r="B194" s="5" t="s">
        <v>14</v>
      </c>
      <c r="C194" s="5" t="s">
        <v>47</v>
      </c>
      <c r="D194" s="5">
        <v>3299.97</v>
      </c>
      <c r="E194" s="5">
        <v>0.1</v>
      </c>
      <c r="F194" s="5">
        <v>5</v>
      </c>
      <c r="G194" s="7">
        <v>44932</v>
      </c>
      <c r="H194" s="7">
        <v>44939</v>
      </c>
      <c r="I194" s="5" t="s">
        <v>22</v>
      </c>
      <c r="J194" s="5" t="s">
        <v>17</v>
      </c>
      <c r="K194" s="5">
        <v>467.32</v>
      </c>
      <c r="L194" s="8" t="s">
        <v>87</v>
      </c>
    </row>
    <row r="195" spans="1:12">
      <c r="A195" s="9" t="s">
        <v>255</v>
      </c>
      <c r="B195" s="10" t="s">
        <v>20</v>
      </c>
      <c r="C195" s="10" t="s">
        <v>21</v>
      </c>
      <c r="D195" s="10">
        <v>1009.51</v>
      </c>
      <c r="E195" s="10">
        <v>0.22</v>
      </c>
      <c r="F195" s="10">
        <v>6</v>
      </c>
      <c r="G195" s="12">
        <v>45113</v>
      </c>
      <c r="H195" s="12">
        <v>45119</v>
      </c>
      <c r="I195" s="10" t="s">
        <v>16</v>
      </c>
      <c r="J195" s="10" t="s">
        <v>29</v>
      </c>
      <c r="K195" s="10">
        <v>170.18</v>
      </c>
      <c r="L195" s="13" t="s">
        <v>18</v>
      </c>
    </row>
    <row r="196" spans="1:12">
      <c r="A196" s="4" t="s">
        <v>256</v>
      </c>
      <c r="B196" s="5" t="s">
        <v>27</v>
      </c>
      <c r="C196" s="5" t="s">
        <v>21</v>
      </c>
      <c r="D196" s="5">
        <v>4137.1899999999996</v>
      </c>
      <c r="E196" s="5">
        <v>0.49</v>
      </c>
      <c r="F196" s="5">
        <v>9</v>
      </c>
      <c r="G196" s="7">
        <v>45629</v>
      </c>
      <c r="H196" s="7">
        <v>45632</v>
      </c>
      <c r="I196" s="5" t="s">
        <v>16</v>
      </c>
      <c r="J196" s="5" t="s">
        <v>17</v>
      </c>
      <c r="K196" s="5">
        <v>664.13</v>
      </c>
      <c r="L196" s="8" t="s">
        <v>84</v>
      </c>
    </row>
    <row r="197" spans="1:12">
      <c r="A197" s="9" t="s">
        <v>257</v>
      </c>
      <c r="B197" s="10" t="s">
        <v>35</v>
      </c>
      <c r="C197" s="10" t="s">
        <v>52</v>
      </c>
      <c r="D197" s="10">
        <v>982.95</v>
      </c>
      <c r="E197" s="10">
        <v>0.2</v>
      </c>
      <c r="F197" s="10">
        <v>5</v>
      </c>
      <c r="G197" s="12">
        <v>44969</v>
      </c>
      <c r="H197" s="12">
        <v>44973</v>
      </c>
      <c r="I197" s="10" t="s">
        <v>22</v>
      </c>
      <c r="J197" s="10" t="s">
        <v>29</v>
      </c>
      <c r="K197" s="10">
        <v>242.2</v>
      </c>
      <c r="L197" s="13" t="s">
        <v>54</v>
      </c>
    </row>
    <row r="198" spans="1:12">
      <c r="A198" s="4" t="s">
        <v>258</v>
      </c>
      <c r="B198" s="5" t="s">
        <v>14</v>
      </c>
      <c r="C198" s="5" t="s">
        <v>15</v>
      </c>
      <c r="D198" s="5">
        <v>1993.89</v>
      </c>
      <c r="E198" s="5">
        <v>0.17</v>
      </c>
      <c r="F198" s="5">
        <v>2</v>
      </c>
      <c r="G198" s="7">
        <v>45176</v>
      </c>
      <c r="H198" s="7">
        <v>45182</v>
      </c>
      <c r="I198" s="5" t="s">
        <v>16</v>
      </c>
      <c r="J198" s="5" t="s">
        <v>17</v>
      </c>
      <c r="K198" s="5">
        <v>508.95</v>
      </c>
      <c r="L198" s="8" t="s">
        <v>70</v>
      </c>
    </row>
    <row r="199" spans="1:12">
      <c r="A199" s="9" t="s">
        <v>259</v>
      </c>
      <c r="B199" s="10" t="s">
        <v>20</v>
      </c>
      <c r="C199" s="10" t="s">
        <v>28</v>
      </c>
      <c r="D199" s="10">
        <v>1266.33</v>
      </c>
      <c r="E199" s="10">
        <v>0.05</v>
      </c>
      <c r="F199" s="10">
        <v>1</v>
      </c>
      <c r="G199" s="12">
        <v>45123</v>
      </c>
      <c r="H199" s="12">
        <v>45127</v>
      </c>
      <c r="I199" s="10" t="s">
        <v>42</v>
      </c>
      <c r="J199" s="10" t="s">
        <v>23</v>
      </c>
      <c r="K199" s="10">
        <v>350.09</v>
      </c>
      <c r="L199" s="13" t="s">
        <v>25</v>
      </c>
    </row>
    <row r="200" spans="1:12">
      <c r="A200" s="4" t="s">
        <v>260</v>
      </c>
      <c r="B200" s="5" t="s">
        <v>27</v>
      </c>
      <c r="C200" s="5" t="s">
        <v>15</v>
      </c>
      <c r="D200" s="5">
        <v>4203.78</v>
      </c>
      <c r="E200" s="5">
        <v>0.38</v>
      </c>
      <c r="F200" s="5">
        <v>2</v>
      </c>
      <c r="G200" s="7">
        <v>45129</v>
      </c>
      <c r="H200" s="7">
        <v>45135</v>
      </c>
      <c r="I200" s="5" t="s">
        <v>22</v>
      </c>
      <c r="J200" s="5" t="s">
        <v>29</v>
      </c>
      <c r="K200" s="5">
        <v>451.8</v>
      </c>
      <c r="L200" s="8" t="s">
        <v>36</v>
      </c>
    </row>
    <row r="201" spans="1:12">
      <c r="A201" s="9" t="s">
        <v>261</v>
      </c>
      <c r="B201" s="10" t="s">
        <v>35</v>
      </c>
      <c r="C201" s="10" t="s">
        <v>15</v>
      </c>
      <c r="D201" s="10">
        <v>4305.8500000000004</v>
      </c>
      <c r="E201" s="10">
        <v>0.22</v>
      </c>
      <c r="F201" s="10">
        <v>8</v>
      </c>
      <c r="G201" s="12">
        <v>45115</v>
      </c>
      <c r="H201" s="12">
        <v>45117</v>
      </c>
      <c r="I201" s="10" t="s">
        <v>42</v>
      </c>
      <c r="J201" s="10" t="s">
        <v>23</v>
      </c>
      <c r="K201" s="10">
        <v>1195.98</v>
      </c>
      <c r="L201" s="13" t="s">
        <v>56</v>
      </c>
    </row>
    <row r="202" spans="1:12">
      <c r="A202" s="4" t="s">
        <v>262</v>
      </c>
      <c r="B202" s="5" t="s">
        <v>14</v>
      </c>
      <c r="C202" s="5" t="s">
        <v>52</v>
      </c>
      <c r="D202" s="5">
        <v>1922.94</v>
      </c>
      <c r="E202" s="5">
        <v>0.32</v>
      </c>
      <c r="F202" s="5">
        <v>1</v>
      </c>
      <c r="G202" s="7">
        <v>45399</v>
      </c>
      <c r="H202" s="7">
        <v>45406</v>
      </c>
      <c r="I202" s="5" t="s">
        <v>22</v>
      </c>
      <c r="J202" s="5" t="s">
        <v>29</v>
      </c>
      <c r="K202" s="5">
        <v>235.46</v>
      </c>
      <c r="L202" s="8" t="s">
        <v>87</v>
      </c>
    </row>
    <row r="203" spans="1:12">
      <c r="A203" s="9" t="s">
        <v>263</v>
      </c>
      <c r="B203" s="10" t="s">
        <v>20</v>
      </c>
      <c r="C203" s="10" t="s">
        <v>28</v>
      </c>
      <c r="D203" s="10">
        <v>1606.15</v>
      </c>
      <c r="E203" s="10">
        <v>0.25</v>
      </c>
      <c r="F203" s="10">
        <v>6</v>
      </c>
      <c r="G203" s="12">
        <v>45199</v>
      </c>
      <c r="H203" s="12">
        <v>45203</v>
      </c>
      <c r="I203" s="10" t="s">
        <v>22</v>
      </c>
      <c r="J203" s="10" t="s">
        <v>23</v>
      </c>
      <c r="K203" s="10">
        <v>432.87</v>
      </c>
      <c r="L203" s="13" t="s">
        <v>118</v>
      </c>
    </row>
    <row r="204" spans="1:12">
      <c r="A204" s="4" t="s">
        <v>264</v>
      </c>
      <c r="B204" s="5" t="s">
        <v>27</v>
      </c>
      <c r="C204" s="5" t="s">
        <v>47</v>
      </c>
      <c r="D204" s="5">
        <v>3890.47</v>
      </c>
      <c r="E204" s="5">
        <v>0.09</v>
      </c>
      <c r="F204" s="5">
        <v>5</v>
      </c>
      <c r="G204" s="7">
        <v>45616</v>
      </c>
      <c r="H204" s="7">
        <v>45621</v>
      </c>
      <c r="I204" s="5" t="s">
        <v>22</v>
      </c>
      <c r="J204" s="5" t="s">
        <v>29</v>
      </c>
      <c r="K204" s="5">
        <v>1028.18</v>
      </c>
      <c r="L204" s="8" t="s">
        <v>24</v>
      </c>
    </row>
    <row r="205" spans="1:12">
      <c r="A205" s="9" t="s">
        <v>265</v>
      </c>
      <c r="B205" s="10" t="s">
        <v>35</v>
      </c>
      <c r="C205" s="10" t="s">
        <v>28</v>
      </c>
      <c r="D205" s="10">
        <v>4404.71</v>
      </c>
      <c r="E205" s="10">
        <v>0.09</v>
      </c>
      <c r="F205" s="10">
        <v>9</v>
      </c>
      <c r="G205" s="12">
        <v>45016</v>
      </c>
      <c r="H205" s="12">
        <v>45017</v>
      </c>
      <c r="I205" s="10" t="s">
        <v>22</v>
      </c>
      <c r="J205" s="10" t="s">
        <v>29</v>
      </c>
      <c r="K205" s="10">
        <v>721</v>
      </c>
      <c r="L205" s="13" t="s">
        <v>70</v>
      </c>
    </row>
    <row r="206" spans="1:12">
      <c r="A206" s="4" t="s">
        <v>266</v>
      </c>
      <c r="B206" s="5" t="s">
        <v>14</v>
      </c>
      <c r="C206" s="5" t="s">
        <v>47</v>
      </c>
      <c r="D206" s="5">
        <v>3157.7</v>
      </c>
      <c r="E206" s="5">
        <v>0.47</v>
      </c>
      <c r="F206" s="5">
        <v>4</v>
      </c>
      <c r="G206" s="7">
        <v>45196</v>
      </c>
      <c r="H206" s="7">
        <v>45203</v>
      </c>
      <c r="I206" s="5" t="s">
        <v>42</v>
      </c>
      <c r="J206" s="5" t="s">
        <v>17</v>
      </c>
      <c r="K206" s="5">
        <v>788.19</v>
      </c>
      <c r="L206" s="8" t="s">
        <v>84</v>
      </c>
    </row>
    <row r="207" spans="1:12">
      <c r="A207" s="9" t="s">
        <v>267</v>
      </c>
      <c r="B207" s="10" t="s">
        <v>20</v>
      </c>
      <c r="C207" s="10" t="s">
        <v>28</v>
      </c>
      <c r="D207" s="10">
        <v>4644.28</v>
      </c>
      <c r="E207" s="10">
        <v>0.44</v>
      </c>
      <c r="F207" s="10">
        <v>5</v>
      </c>
      <c r="G207" s="12">
        <v>45477</v>
      </c>
      <c r="H207" s="12">
        <v>45481</v>
      </c>
      <c r="I207" s="10" t="s">
        <v>42</v>
      </c>
      <c r="J207" s="10" t="s">
        <v>29</v>
      </c>
      <c r="K207" s="10">
        <v>1095.22</v>
      </c>
      <c r="L207" s="13" t="s">
        <v>82</v>
      </c>
    </row>
    <row r="208" spans="1:12">
      <c r="A208" s="4" t="s">
        <v>268</v>
      </c>
      <c r="B208" s="5" t="s">
        <v>27</v>
      </c>
      <c r="C208" s="5" t="s">
        <v>21</v>
      </c>
      <c r="D208" s="5">
        <v>1976.91</v>
      </c>
      <c r="E208" s="5">
        <v>0.31</v>
      </c>
      <c r="F208" s="5">
        <v>5</v>
      </c>
      <c r="G208" s="7">
        <v>45046</v>
      </c>
      <c r="H208" s="7">
        <v>45051</v>
      </c>
      <c r="I208" s="5" t="s">
        <v>22</v>
      </c>
      <c r="J208" s="5" t="s">
        <v>29</v>
      </c>
      <c r="K208" s="5">
        <v>121.08</v>
      </c>
      <c r="L208" s="8" t="s">
        <v>87</v>
      </c>
    </row>
    <row r="209" spans="1:12">
      <c r="A209" s="9" t="s">
        <v>269</v>
      </c>
      <c r="B209" s="10" t="s">
        <v>35</v>
      </c>
      <c r="C209" s="10" t="s">
        <v>28</v>
      </c>
      <c r="D209" s="10">
        <v>844.24</v>
      </c>
      <c r="E209" s="10">
        <v>0</v>
      </c>
      <c r="F209" s="10">
        <v>2</v>
      </c>
      <c r="G209" s="12">
        <v>45493</v>
      </c>
      <c r="H209" s="12">
        <v>45498</v>
      </c>
      <c r="I209" s="10" t="s">
        <v>22</v>
      </c>
      <c r="J209" s="10" t="s">
        <v>23</v>
      </c>
      <c r="K209" s="10">
        <v>47.74</v>
      </c>
      <c r="L209" s="13" t="s">
        <v>63</v>
      </c>
    </row>
    <row r="210" spans="1:12">
      <c r="A210" s="4" t="s">
        <v>270</v>
      </c>
      <c r="B210" s="5" t="s">
        <v>14</v>
      </c>
      <c r="C210" s="5" t="s">
        <v>52</v>
      </c>
      <c r="D210" s="5">
        <v>980.25</v>
      </c>
      <c r="E210" s="5">
        <v>0.22</v>
      </c>
      <c r="F210" s="5">
        <v>2</v>
      </c>
      <c r="G210" s="7">
        <v>45166</v>
      </c>
      <c r="H210" s="7">
        <v>45169</v>
      </c>
      <c r="I210" s="5" t="s">
        <v>42</v>
      </c>
      <c r="J210" s="5" t="s">
        <v>23</v>
      </c>
      <c r="K210" s="5">
        <v>70.55</v>
      </c>
      <c r="L210" s="8" t="s">
        <v>54</v>
      </c>
    </row>
    <row r="211" spans="1:12">
      <c r="A211" s="9" t="s">
        <v>271</v>
      </c>
      <c r="B211" s="10" t="s">
        <v>20</v>
      </c>
      <c r="C211" s="10" t="s">
        <v>47</v>
      </c>
      <c r="D211" s="10">
        <v>3382.18</v>
      </c>
      <c r="E211" s="10">
        <v>0.27</v>
      </c>
      <c r="F211" s="10">
        <v>9</v>
      </c>
      <c r="G211" s="12">
        <v>45191</v>
      </c>
      <c r="H211" s="12">
        <v>45196</v>
      </c>
      <c r="I211" s="10" t="s">
        <v>22</v>
      </c>
      <c r="J211" s="10" t="s">
        <v>23</v>
      </c>
      <c r="K211" s="10">
        <v>970.91</v>
      </c>
      <c r="L211" s="13" t="s">
        <v>18</v>
      </c>
    </row>
    <row r="212" spans="1:12">
      <c r="A212" s="4" t="s">
        <v>272</v>
      </c>
      <c r="B212" s="5" t="s">
        <v>27</v>
      </c>
      <c r="C212" s="5" t="s">
        <v>15</v>
      </c>
      <c r="D212" s="5">
        <v>2096.88</v>
      </c>
      <c r="E212" s="5">
        <v>0.22</v>
      </c>
      <c r="F212" s="5">
        <v>3</v>
      </c>
      <c r="G212" s="7">
        <v>45117</v>
      </c>
      <c r="H212" s="7">
        <v>45120</v>
      </c>
      <c r="I212" s="5" t="s">
        <v>22</v>
      </c>
      <c r="J212" s="5" t="s">
        <v>23</v>
      </c>
      <c r="K212" s="5">
        <v>478.55</v>
      </c>
      <c r="L212" s="8" t="s">
        <v>84</v>
      </c>
    </row>
    <row r="213" spans="1:12">
      <c r="A213" s="9" t="s">
        <v>273</v>
      </c>
      <c r="B213" s="10" t="s">
        <v>35</v>
      </c>
      <c r="C213" s="10" t="s">
        <v>52</v>
      </c>
      <c r="D213" s="10">
        <v>865.94</v>
      </c>
      <c r="E213" s="10">
        <v>0.46</v>
      </c>
      <c r="F213" s="10">
        <v>6</v>
      </c>
      <c r="G213" s="12">
        <v>45209</v>
      </c>
      <c r="H213" s="12">
        <v>45214</v>
      </c>
      <c r="I213" s="10" t="s">
        <v>42</v>
      </c>
      <c r="J213" s="10" t="s">
        <v>17</v>
      </c>
      <c r="K213" s="10">
        <v>133.02000000000001</v>
      </c>
      <c r="L213" s="13" t="s">
        <v>118</v>
      </c>
    </row>
    <row r="214" spans="1:12">
      <c r="A214" s="4" t="s">
        <v>274</v>
      </c>
      <c r="B214" s="5" t="s">
        <v>14</v>
      </c>
      <c r="C214" s="5" t="s">
        <v>47</v>
      </c>
      <c r="D214" s="5">
        <v>1531.91</v>
      </c>
      <c r="E214" s="5">
        <v>0.02</v>
      </c>
      <c r="F214" s="5">
        <v>4</v>
      </c>
      <c r="G214" s="7">
        <v>45601</v>
      </c>
      <c r="H214" s="7">
        <v>45603</v>
      </c>
      <c r="I214" s="5" t="s">
        <v>42</v>
      </c>
      <c r="J214" s="5" t="s">
        <v>23</v>
      </c>
      <c r="K214" s="5">
        <v>161.16</v>
      </c>
      <c r="L214" s="8" t="s">
        <v>82</v>
      </c>
    </row>
    <row r="215" spans="1:12">
      <c r="A215" s="9" t="s">
        <v>275</v>
      </c>
      <c r="B215" s="10" t="s">
        <v>20</v>
      </c>
      <c r="C215" s="10" t="s">
        <v>47</v>
      </c>
      <c r="D215" s="10">
        <v>2699.96</v>
      </c>
      <c r="E215" s="10">
        <v>0.33</v>
      </c>
      <c r="F215" s="10">
        <v>4</v>
      </c>
      <c r="G215" s="12">
        <v>45390</v>
      </c>
      <c r="H215" s="12">
        <v>45392</v>
      </c>
      <c r="I215" s="10" t="s">
        <v>42</v>
      </c>
      <c r="J215" s="10" t="s">
        <v>17</v>
      </c>
      <c r="K215" s="10">
        <v>774.75</v>
      </c>
      <c r="L215" s="13" t="s">
        <v>59</v>
      </c>
    </row>
    <row r="216" spans="1:12">
      <c r="A216" s="4" t="s">
        <v>276</v>
      </c>
      <c r="B216" s="5" t="s">
        <v>27</v>
      </c>
      <c r="C216" s="5" t="s">
        <v>15</v>
      </c>
      <c r="D216" s="5">
        <v>695.08</v>
      </c>
      <c r="E216" s="5">
        <v>0.16</v>
      </c>
      <c r="F216" s="5">
        <v>5</v>
      </c>
      <c r="G216" s="7">
        <v>45652</v>
      </c>
      <c r="H216" s="7">
        <v>45654</v>
      </c>
      <c r="I216" s="5" t="s">
        <v>16</v>
      </c>
      <c r="J216" s="5" t="s">
        <v>17</v>
      </c>
      <c r="K216" s="5">
        <v>77.209999999999994</v>
      </c>
      <c r="L216" s="8" t="s">
        <v>63</v>
      </c>
    </row>
    <row r="217" spans="1:12">
      <c r="A217" s="9" t="s">
        <v>277</v>
      </c>
      <c r="B217" s="10" t="s">
        <v>35</v>
      </c>
      <c r="C217" s="10" t="s">
        <v>21</v>
      </c>
      <c r="D217" s="10">
        <v>116.87</v>
      </c>
      <c r="E217" s="10">
        <v>0.28000000000000003</v>
      </c>
      <c r="F217" s="10">
        <v>5</v>
      </c>
      <c r="G217" s="12">
        <v>45016</v>
      </c>
      <c r="H217" s="12">
        <v>45018</v>
      </c>
      <c r="I217" s="10" t="s">
        <v>22</v>
      </c>
      <c r="J217" s="10" t="s">
        <v>23</v>
      </c>
      <c r="K217" s="10">
        <v>21.73</v>
      </c>
      <c r="L217" s="13" t="s">
        <v>24</v>
      </c>
    </row>
    <row r="218" spans="1:12">
      <c r="A218" s="4" t="s">
        <v>278</v>
      </c>
      <c r="B218" s="5" t="s">
        <v>14</v>
      </c>
      <c r="C218" s="5" t="s">
        <v>52</v>
      </c>
      <c r="D218" s="5">
        <v>4594.76</v>
      </c>
      <c r="E218" s="5">
        <v>0.33</v>
      </c>
      <c r="F218" s="5">
        <v>7</v>
      </c>
      <c r="G218" s="7">
        <v>45285</v>
      </c>
      <c r="H218" s="7">
        <v>45291</v>
      </c>
      <c r="I218" s="5" t="s">
        <v>42</v>
      </c>
      <c r="J218" s="5" t="s">
        <v>23</v>
      </c>
      <c r="K218" s="5">
        <v>509.07</v>
      </c>
      <c r="L218" s="8" t="s">
        <v>74</v>
      </c>
    </row>
    <row r="219" spans="1:12">
      <c r="A219" s="9" t="s">
        <v>279</v>
      </c>
      <c r="B219" s="10" t="s">
        <v>20</v>
      </c>
      <c r="C219" s="10" t="s">
        <v>15</v>
      </c>
      <c r="D219" s="10">
        <v>1593.82</v>
      </c>
      <c r="E219" s="10">
        <v>0.22</v>
      </c>
      <c r="F219" s="10">
        <v>7</v>
      </c>
      <c r="G219" s="12">
        <v>45306</v>
      </c>
      <c r="H219" s="12">
        <v>45308</v>
      </c>
      <c r="I219" s="10" t="s">
        <v>22</v>
      </c>
      <c r="J219" s="10" t="s">
        <v>23</v>
      </c>
      <c r="K219" s="10">
        <v>369.28</v>
      </c>
      <c r="L219" s="13" t="s">
        <v>54</v>
      </c>
    </row>
    <row r="220" spans="1:12">
      <c r="A220" s="4" t="s">
        <v>280</v>
      </c>
      <c r="B220" s="5" t="s">
        <v>27</v>
      </c>
      <c r="C220" s="5" t="s">
        <v>15</v>
      </c>
      <c r="D220" s="5">
        <v>1185.3399999999999</v>
      </c>
      <c r="E220" s="5">
        <v>7.0000000000000007E-2</v>
      </c>
      <c r="F220" s="5">
        <v>1</v>
      </c>
      <c r="G220" s="7">
        <v>45093</v>
      </c>
      <c r="H220" s="7">
        <v>45100</v>
      </c>
      <c r="I220" s="5" t="s">
        <v>16</v>
      </c>
      <c r="J220" s="5" t="s">
        <v>29</v>
      </c>
      <c r="K220" s="5">
        <v>110.39</v>
      </c>
      <c r="L220" s="8" t="s">
        <v>77</v>
      </c>
    </row>
    <row r="221" spans="1:12">
      <c r="A221" s="9" t="s">
        <v>281</v>
      </c>
      <c r="B221" s="10" t="s">
        <v>35</v>
      </c>
      <c r="C221" s="10" t="s">
        <v>21</v>
      </c>
      <c r="D221" s="10">
        <v>3522.56</v>
      </c>
      <c r="E221" s="10">
        <v>0.26</v>
      </c>
      <c r="F221" s="10">
        <v>6</v>
      </c>
      <c r="G221" s="12">
        <v>45618</v>
      </c>
      <c r="H221" s="12">
        <v>45625</v>
      </c>
      <c r="I221" s="10" t="s">
        <v>42</v>
      </c>
      <c r="J221" s="10" t="s">
        <v>23</v>
      </c>
      <c r="K221" s="10">
        <v>700.49</v>
      </c>
      <c r="L221" s="13" t="s">
        <v>59</v>
      </c>
    </row>
    <row r="222" spans="1:12">
      <c r="A222" s="4" t="s">
        <v>282</v>
      </c>
      <c r="B222" s="5" t="s">
        <v>14</v>
      </c>
      <c r="C222" s="5" t="s">
        <v>52</v>
      </c>
      <c r="D222" s="5">
        <v>4281.67</v>
      </c>
      <c r="E222" s="5">
        <v>0.47</v>
      </c>
      <c r="F222" s="5">
        <v>4</v>
      </c>
      <c r="G222" s="7">
        <v>45542</v>
      </c>
      <c r="H222" s="7">
        <v>45547</v>
      </c>
      <c r="I222" s="5" t="s">
        <v>42</v>
      </c>
      <c r="J222" s="5" t="s">
        <v>23</v>
      </c>
      <c r="K222" s="5">
        <v>909.46</v>
      </c>
      <c r="L222" s="8" t="s">
        <v>87</v>
      </c>
    </row>
    <row r="223" spans="1:12">
      <c r="A223" s="9" t="s">
        <v>283</v>
      </c>
      <c r="B223" s="10" t="s">
        <v>20</v>
      </c>
      <c r="C223" s="10" t="s">
        <v>15</v>
      </c>
      <c r="D223" s="10">
        <v>3198.17</v>
      </c>
      <c r="E223" s="10">
        <v>0.27</v>
      </c>
      <c r="F223" s="10">
        <v>2</v>
      </c>
      <c r="G223" s="12">
        <v>45496</v>
      </c>
      <c r="H223" s="12">
        <v>45500</v>
      </c>
      <c r="I223" s="10" t="s">
        <v>22</v>
      </c>
      <c r="J223" s="10" t="s">
        <v>17</v>
      </c>
      <c r="K223" s="10">
        <v>930.63</v>
      </c>
      <c r="L223" s="13" t="s">
        <v>36</v>
      </c>
    </row>
    <row r="224" spans="1:12">
      <c r="A224" s="4" t="s">
        <v>284</v>
      </c>
      <c r="B224" s="5" t="s">
        <v>27</v>
      </c>
      <c r="C224" s="5" t="s">
        <v>21</v>
      </c>
      <c r="D224" s="5">
        <v>1346.97</v>
      </c>
      <c r="E224" s="5">
        <v>0.06</v>
      </c>
      <c r="F224" s="5">
        <v>6</v>
      </c>
      <c r="G224" s="7">
        <v>45130</v>
      </c>
      <c r="H224" s="7">
        <v>45134</v>
      </c>
      <c r="I224" s="5" t="s">
        <v>22</v>
      </c>
      <c r="J224" s="5" t="s">
        <v>23</v>
      </c>
      <c r="K224" s="5">
        <v>270.37</v>
      </c>
      <c r="L224" s="8" t="s">
        <v>74</v>
      </c>
    </row>
    <row r="225" spans="1:12">
      <c r="A225" s="9" t="s">
        <v>285</v>
      </c>
      <c r="B225" s="10" t="s">
        <v>35</v>
      </c>
      <c r="C225" s="10" t="s">
        <v>52</v>
      </c>
      <c r="D225" s="10">
        <v>4322.0200000000004</v>
      </c>
      <c r="E225" s="10">
        <v>0.41</v>
      </c>
      <c r="F225" s="10">
        <v>7</v>
      </c>
      <c r="G225" s="12">
        <v>45052</v>
      </c>
      <c r="H225" s="12">
        <v>45056</v>
      </c>
      <c r="I225" s="10" t="s">
        <v>42</v>
      </c>
      <c r="J225" s="10" t="s">
        <v>29</v>
      </c>
      <c r="K225" s="10">
        <v>740.19</v>
      </c>
      <c r="L225" s="13" t="s">
        <v>24</v>
      </c>
    </row>
    <row r="226" spans="1:12">
      <c r="A226" s="4" t="s">
        <v>286</v>
      </c>
      <c r="B226" s="5" t="s">
        <v>14</v>
      </c>
      <c r="C226" s="5" t="s">
        <v>28</v>
      </c>
      <c r="D226" s="5">
        <v>2601.09</v>
      </c>
      <c r="E226" s="5">
        <v>0.11</v>
      </c>
      <c r="F226" s="5">
        <v>2</v>
      </c>
      <c r="G226" s="7">
        <v>45391</v>
      </c>
      <c r="H226" s="7">
        <v>45393</v>
      </c>
      <c r="I226" s="5" t="s">
        <v>42</v>
      </c>
      <c r="J226" s="5" t="s">
        <v>23</v>
      </c>
      <c r="K226" s="5">
        <v>385.44</v>
      </c>
      <c r="L226" s="8" t="s">
        <v>56</v>
      </c>
    </row>
    <row r="227" spans="1:12">
      <c r="A227" s="9" t="s">
        <v>287</v>
      </c>
      <c r="B227" s="10" t="s">
        <v>20</v>
      </c>
      <c r="C227" s="10" t="s">
        <v>47</v>
      </c>
      <c r="D227" s="10">
        <v>1967.83</v>
      </c>
      <c r="E227" s="10">
        <v>0.19</v>
      </c>
      <c r="F227" s="10">
        <v>2</v>
      </c>
      <c r="G227" s="12">
        <v>45271</v>
      </c>
      <c r="H227" s="12">
        <v>45273</v>
      </c>
      <c r="I227" s="10" t="s">
        <v>22</v>
      </c>
      <c r="J227" s="10" t="s">
        <v>23</v>
      </c>
      <c r="K227" s="10">
        <v>150.44999999999999</v>
      </c>
      <c r="L227" s="13" t="s">
        <v>36</v>
      </c>
    </row>
    <row r="228" spans="1:12">
      <c r="A228" s="4" t="s">
        <v>288</v>
      </c>
      <c r="B228" s="5" t="s">
        <v>27</v>
      </c>
      <c r="C228" s="5" t="s">
        <v>21</v>
      </c>
      <c r="D228" s="5">
        <v>3063.16</v>
      </c>
      <c r="E228" s="5">
        <v>0.21</v>
      </c>
      <c r="F228" s="5">
        <v>7</v>
      </c>
      <c r="G228" s="7">
        <v>45595</v>
      </c>
      <c r="H228" s="7">
        <v>45600</v>
      </c>
      <c r="I228" s="5" t="s">
        <v>22</v>
      </c>
      <c r="J228" s="5" t="s">
        <v>17</v>
      </c>
      <c r="K228" s="5">
        <v>706.04</v>
      </c>
      <c r="L228" s="8" t="s">
        <v>56</v>
      </c>
    </row>
    <row r="229" spans="1:12">
      <c r="A229" s="9" t="s">
        <v>289</v>
      </c>
      <c r="B229" s="10" t="s">
        <v>35</v>
      </c>
      <c r="C229" s="10" t="s">
        <v>47</v>
      </c>
      <c r="D229" s="10">
        <v>3533</v>
      </c>
      <c r="E229" s="10">
        <v>0.17</v>
      </c>
      <c r="F229" s="10">
        <v>9</v>
      </c>
      <c r="G229" s="12">
        <v>45352</v>
      </c>
      <c r="H229" s="12">
        <v>45359</v>
      </c>
      <c r="I229" s="10" t="s">
        <v>42</v>
      </c>
      <c r="J229" s="10" t="s">
        <v>29</v>
      </c>
      <c r="K229" s="10">
        <v>394.98</v>
      </c>
      <c r="L229" s="13" t="s">
        <v>113</v>
      </c>
    </row>
    <row r="230" spans="1:12">
      <c r="A230" s="4" t="s">
        <v>290</v>
      </c>
      <c r="B230" s="5" t="s">
        <v>14</v>
      </c>
      <c r="C230" s="5" t="s">
        <v>28</v>
      </c>
      <c r="D230" s="5">
        <v>3009.77</v>
      </c>
      <c r="E230" s="5">
        <v>0.2</v>
      </c>
      <c r="F230" s="5">
        <v>3</v>
      </c>
      <c r="G230" s="7">
        <v>45466</v>
      </c>
      <c r="H230" s="7">
        <v>45472</v>
      </c>
      <c r="I230" s="5" t="s">
        <v>16</v>
      </c>
      <c r="J230" s="5" t="s">
        <v>29</v>
      </c>
      <c r="K230" s="5">
        <v>385.71</v>
      </c>
      <c r="L230" s="8" t="s">
        <v>82</v>
      </c>
    </row>
    <row r="231" spans="1:12">
      <c r="A231" s="9" t="s">
        <v>291</v>
      </c>
      <c r="B231" s="10" t="s">
        <v>20</v>
      </c>
      <c r="C231" s="10" t="s">
        <v>15</v>
      </c>
      <c r="D231" s="10">
        <v>4609.2</v>
      </c>
      <c r="E231" s="10">
        <v>0.4</v>
      </c>
      <c r="F231" s="10">
        <v>3</v>
      </c>
      <c r="G231" s="12">
        <v>45137</v>
      </c>
      <c r="H231" s="12">
        <v>45144</v>
      </c>
      <c r="I231" s="10" t="s">
        <v>22</v>
      </c>
      <c r="J231" s="10" t="s">
        <v>23</v>
      </c>
      <c r="K231" s="10">
        <v>244.12</v>
      </c>
      <c r="L231" s="13" t="s">
        <v>63</v>
      </c>
    </row>
    <row r="232" spans="1:12">
      <c r="A232" s="4" t="s">
        <v>292</v>
      </c>
      <c r="B232" s="5" t="s">
        <v>27</v>
      </c>
      <c r="C232" s="5" t="s">
        <v>15</v>
      </c>
      <c r="D232" s="5">
        <v>3177.29</v>
      </c>
      <c r="E232" s="5">
        <v>0.11</v>
      </c>
      <c r="F232" s="5">
        <v>8</v>
      </c>
      <c r="G232" s="7">
        <v>45192</v>
      </c>
      <c r="H232" s="7">
        <v>45196</v>
      </c>
      <c r="I232" s="5" t="s">
        <v>22</v>
      </c>
      <c r="J232" s="5" t="s">
        <v>29</v>
      </c>
      <c r="K232" s="5">
        <v>682.33</v>
      </c>
      <c r="L232" s="8" t="s">
        <v>113</v>
      </c>
    </row>
    <row r="233" spans="1:12">
      <c r="A233" s="9" t="s">
        <v>293</v>
      </c>
      <c r="B233" s="10" t="s">
        <v>35</v>
      </c>
      <c r="C233" s="10" t="s">
        <v>52</v>
      </c>
      <c r="D233" s="10">
        <v>4405.05</v>
      </c>
      <c r="E233" s="10">
        <v>0.24</v>
      </c>
      <c r="F233" s="10">
        <v>2</v>
      </c>
      <c r="G233" s="12">
        <v>45193</v>
      </c>
      <c r="H233" s="12">
        <v>45200</v>
      </c>
      <c r="I233" s="10" t="s">
        <v>22</v>
      </c>
      <c r="J233" s="10" t="s">
        <v>23</v>
      </c>
      <c r="K233" s="10">
        <v>1055.96</v>
      </c>
      <c r="L233" s="13" t="s">
        <v>118</v>
      </c>
    </row>
    <row r="234" spans="1:12">
      <c r="A234" s="4" t="s">
        <v>294</v>
      </c>
      <c r="B234" s="5" t="s">
        <v>14</v>
      </c>
      <c r="C234" s="5" t="s">
        <v>21</v>
      </c>
      <c r="D234" s="5">
        <v>2976.1</v>
      </c>
      <c r="E234" s="5">
        <v>0.01</v>
      </c>
      <c r="F234" s="5">
        <v>9</v>
      </c>
      <c r="G234" s="7">
        <v>45180</v>
      </c>
      <c r="H234" s="7">
        <v>45187</v>
      </c>
      <c r="I234" s="5" t="s">
        <v>42</v>
      </c>
      <c r="J234" s="5" t="s">
        <v>17</v>
      </c>
      <c r="K234" s="5">
        <v>219.01</v>
      </c>
      <c r="L234" s="8" t="s">
        <v>54</v>
      </c>
    </row>
    <row r="235" spans="1:12">
      <c r="A235" s="9" t="s">
        <v>295</v>
      </c>
      <c r="B235" s="10" t="s">
        <v>20</v>
      </c>
      <c r="C235" s="10" t="s">
        <v>21</v>
      </c>
      <c r="D235" s="10">
        <v>1715.43</v>
      </c>
      <c r="E235" s="10">
        <v>0.25</v>
      </c>
      <c r="F235" s="10">
        <v>7</v>
      </c>
      <c r="G235" s="12">
        <v>45114</v>
      </c>
      <c r="H235" s="12">
        <v>45121</v>
      </c>
      <c r="I235" s="10" t="s">
        <v>42</v>
      </c>
      <c r="J235" s="10" t="s">
        <v>29</v>
      </c>
      <c r="K235" s="10">
        <v>144.54</v>
      </c>
      <c r="L235" s="13" t="s">
        <v>113</v>
      </c>
    </row>
    <row r="236" spans="1:12">
      <c r="A236" s="4" t="s">
        <v>296</v>
      </c>
      <c r="B236" s="5" t="s">
        <v>27</v>
      </c>
      <c r="C236" s="5" t="s">
        <v>52</v>
      </c>
      <c r="D236" s="5">
        <v>2708.25</v>
      </c>
      <c r="E236" s="5">
        <v>0.06</v>
      </c>
      <c r="F236" s="5">
        <v>8</v>
      </c>
      <c r="G236" s="7">
        <v>44956</v>
      </c>
      <c r="H236" s="7">
        <v>44962</v>
      </c>
      <c r="I236" s="5" t="s">
        <v>42</v>
      </c>
      <c r="J236" s="5" t="s">
        <v>23</v>
      </c>
      <c r="K236" s="5">
        <v>692.61</v>
      </c>
      <c r="L236" s="8" t="s">
        <v>77</v>
      </c>
    </row>
    <row r="237" spans="1:12">
      <c r="A237" s="9" t="s">
        <v>297</v>
      </c>
      <c r="B237" s="10" t="s">
        <v>35</v>
      </c>
      <c r="C237" s="10" t="s">
        <v>47</v>
      </c>
      <c r="D237" s="10">
        <v>523.04999999999995</v>
      </c>
      <c r="E237" s="10">
        <v>0.14000000000000001</v>
      </c>
      <c r="F237" s="10">
        <v>9</v>
      </c>
      <c r="G237" s="12">
        <v>45231</v>
      </c>
      <c r="H237" s="12">
        <v>45234</v>
      </c>
      <c r="I237" s="10" t="s">
        <v>22</v>
      </c>
      <c r="J237" s="10" t="s">
        <v>17</v>
      </c>
      <c r="K237" s="10">
        <v>122.23</v>
      </c>
      <c r="L237" s="13" t="s">
        <v>25</v>
      </c>
    </row>
    <row r="238" spans="1:12">
      <c r="A238" s="4" t="s">
        <v>298</v>
      </c>
      <c r="B238" s="5" t="s">
        <v>14</v>
      </c>
      <c r="C238" s="5" t="s">
        <v>15</v>
      </c>
      <c r="D238" s="5">
        <v>1227.8599999999999</v>
      </c>
      <c r="E238" s="5">
        <v>0.16</v>
      </c>
      <c r="F238" s="5">
        <v>3</v>
      </c>
      <c r="G238" s="7">
        <v>45379</v>
      </c>
      <c r="H238" s="7">
        <v>45381</v>
      </c>
      <c r="I238" s="5" t="s">
        <v>22</v>
      </c>
      <c r="J238" s="5" t="s">
        <v>17</v>
      </c>
      <c r="K238" s="5">
        <v>99.39</v>
      </c>
      <c r="L238" s="8" t="s">
        <v>18</v>
      </c>
    </row>
    <row r="239" spans="1:12">
      <c r="A239" s="9" t="s">
        <v>299</v>
      </c>
      <c r="B239" s="10" t="s">
        <v>20</v>
      </c>
      <c r="C239" s="10" t="s">
        <v>15</v>
      </c>
      <c r="D239" s="10">
        <v>3854.54</v>
      </c>
      <c r="E239" s="10">
        <v>0.04</v>
      </c>
      <c r="F239" s="10">
        <v>6</v>
      </c>
      <c r="G239" s="12">
        <v>45626</v>
      </c>
      <c r="H239" s="12">
        <v>45627</v>
      </c>
      <c r="I239" s="10" t="s">
        <v>16</v>
      </c>
      <c r="J239" s="10" t="s">
        <v>23</v>
      </c>
      <c r="K239" s="10">
        <v>600.08000000000004</v>
      </c>
      <c r="L239" s="13" t="s">
        <v>77</v>
      </c>
    </row>
    <row r="240" spans="1:12">
      <c r="A240" s="4" t="s">
        <v>300</v>
      </c>
      <c r="B240" s="5" t="s">
        <v>27</v>
      </c>
      <c r="C240" s="5" t="s">
        <v>21</v>
      </c>
      <c r="D240" s="5">
        <v>3341.23</v>
      </c>
      <c r="E240" s="5">
        <v>0.18</v>
      </c>
      <c r="F240" s="5">
        <v>8</v>
      </c>
      <c r="G240" s="7">
        <v>45625</v>
      </c>
      <c r="H240" s="7">
        <v>45626</v>
      </c>
      <c r="I240" s="5" t="s">
        <v>42</v>
      </c>
      <c r="J240" s="5" t="s">
        <v>17</v>
      </c>
      <c r="K240" s="5">
        <v>427.47</v>
      </c>
      <c r="L240" s="8" t="s">
        <v>84</v>
      </c>
    </row>
    <row r="241" spans="1:12">
      <c r="A241" s="9" t="s">
        <v>301</v>
      </c>
      <c r="B241" s="10" t="s">
        <v>35</v>
      </c>
      <c r="C241" s="10" t="s">
        <v>21</v>
      </c>
      <c r="D241" s="10">
        <v>915.94</v>
      </c>
      <c r="E241" s="10">
        <v>0.25</v>
      </c>
      <c r="F241" s="10">
        <v>1</v>
      </c>
      <c r="G241" s="12">
        <v>45571</v>
      </c>
      <c r="H241" s="12">
        <v>45572</v>
      </c>
      <c r="I241" s="10" t="s">
        <v>42</v>
      </c>
      <c r="J241" s="10" t="s">
        <v>17</v>
      </c>
      <c r="K241" s="10">
        <v>83.32</v>
      </c>
      <c r="L241" s="13" t="s">
        <v>84</v>
      </c>
    </row>
    <row r="242" spans="1:12">
      <c r="A242" s="4" t="s">
        <v>302</v>
      </c>
      <c r="B242" s="5" t="s">
        <v>14</v>
      </c>
      <c r="C242" s="5" t="s">
        <v>52</v>
      </c>
      <c r="D242" s="5">
        <v>2246.27</v>
      </c>
      <c r="E242" s="5">
        <v>0.22</v>
      </c>
      <c r="F242" s="5">
        <v>6</v>
      </c>
      <c r="G242" s="7">
        <v>44956</v>
      </c>
      <c r="H242" s="7">
        <v>44963</v>
      </c>
      <c r="I242" s="5" t="s">
        <v>22</v>
      </c>
      <c r="J242" s="5" t="s">
        <v>23</v>
      </c>
      <c r="K242" s="5">
        <v>358.48</v>
      </c>
      <c r="L242" s="8" t="s">
        <v>74</v>
      </c>
    </row>
    <row r="243" spans="1:12">
      <c r="A243" s="9" t="s">
        <v>303</v>
      </c>
      <c r="B243" s="10" t="s">
        <v>20</v>
      </c>
      <c r="C243" s="10" t="s">
        <v>28</v>
      </c>
      <c r="D243" s="10">
        <v>795.76</v>
      </c>
      <c r="E243" s="10">
        <v>0.14000000000000001</v>
      </c>
      <c r="F243" s="10">
        <v>3</v>
      </c>
      <c r="G243" s="12">
        <v>45087</v>
      </c>
      <c r="H243" s="12">
        <v>45092</v>
      </c>
      <c r="I243" s="10" t="s">
        <v>22</v>
      </c>
      <c r="J243" s="10" t="s">
        <v>29</v>
      </c>
      <c r="K243" s="10">
        <v>209.28</v>
      </c>
      <c r="L243" s="13" t="s">
        <v>54</v>
      </c>
    </row>
    <row r="244" spans="1:12">
      <c r="A244" s="4" t="s">
        <v>304</v>
      </c>
      <c r="B244" s="5" t="s">
        <v>27</v>
      </c>
      <c r="C244" s="5" t="s">
        <v>47</v>
      </c>
      <c r="D244" s="5">
        <v>4293.51</v>
      </c>
      <c r="E244" s="5">
        <v>0.15</v>
      </c>
      <c r="F244" s="5">
        <v>8</v>
      </c>
      <c r="G244" s="7">
        <v>45576</v>
      </c>
      <c r="H244" s="7">
        <v>45579</v>
      </c>
      <c r="I244" s="5" t="s">
        <v>16</v>
      </c>
      <c r="J244" s="5" t="s">
        <v>29</v>
      </c>
      <c r="K244" s="5">
        <v>1090.8399999999999</v>
      </c>
      <c r="L244" s="8" t="s">
        <v>63</v>
      </c>
    </row>
    <row r="245" spans="1:12">
      <c r="A245" s="9" t="s">
        <v>305</v>
      </c>
      <c r="B245" s="10" t="s">
        <v>35</v>
      </c>
      <c r="C245" s="10" t="s">
        <v>28</v>
      </c>
      <c r="D245" s="10">
        <v>634.92999999999995</v>
      </c>
      <c r="E245" s="10">
        <v>0.32</v>
      </c>
      <c r="F245" s="10">
        <v>9</v>
      </c>
      <c r="G245" s="12">
        <v>45349</v>
      </c>
      <c r="H245" s="12">
        <v>45351</v>
      </c>
      <c r="I245" s="10" t="s">
        <v>22</v>
      </c>
      <c r="J245" s="10" t="s">
        <v>17</v>
      </c>
      <c r="K245" s="10">
        <v>124.78</v>
      </c>
      <c r="L245" s="13" t="s">
        <v>24</v>
      </c>
    </row>
    <row r="246" spans="1:12">
      <c r="A246" s="4" t="s">
        <v>306</v>
      </c>
      <c r="B246" s="5" t="s">
        <v>14</v>
      </c>
      <c r="C246" s="5" t="s">
        <v>28</v>
      </c>
      <c r="D246" s="5">
        <v>3305.75</v>
      </c>
      <c r="E246" s="5">
        <v>0.36</v>
      </c>
      <c r="F246" s="5">
        <v>5</v>
      </c>
      <c r="G246" s="7">
        <v>45273</v>
      </c>
      <c r="H246" s="7">
        <v>45278</v>
      </c>
      <c r="I246" s="5" t="s">
        <v>22</v>
      </c>
      <c r="J246" s="5" t="s">
        <v>23</v>
      </c>
      <c r="K246" s="5">
        <v>627.83000000000004</v>
      </c>
      <c r="L246" s="8" t="s">
        <v>36</v>
      </c>
    </row>
    <row r="247" spans="1:12">
      <c r="A247" s="9" t="s">
        <v>307</v>
      </c>
      <c r="B247" s="10" t="s">
        <v>20</v>
      </c>
      <c r="C247" s="10" t="s">
        <v>21</v>
      </c>
      <c r="D247" s="10">
        <v>3074.3</v>
      </c>
      <c r="E247" s="10">
        <v>0.28999999999999998</v>
      </c>
      <c r="F247" s="10">
        <v>2</v>
      </c>
      <c r="G247" s="12">
        <v>45504</v>
      </c>
      <c r="H247" s="12">
        <v>45508</v>
      </c>
      <c r="I247" s="10" t="s">
        <v>22</v>
      </c>
      <c r="J247" s="10" t="s">
        <v>29</v>
      </c>
      <c r="K247" s="10">
        <v>656.86</v>
      </c>
      <c r="L247" s="13" t="s">
        <v>118</v>
      </c>
    </row>
    <row r="248" spans="1:12">
      <c r="A248" s="4" t="s">
        <v>308</v>
      </c>
      <c r="B248" s="5" t="s">
        <v>27</v>
      </c>
      <c r="C248" s="5" t="s">
        <v>21</v>
      </c>
      <c r="D248" s="5">
        <v>2416.61</v>
      </c>
      <c r="E248" s="5">
        <v>0.49</v>
      </c>
      <c r="F248" s="5">
        <v>7</v>
      </c>
      <c r="G248" s="7">
        <v>45148</v>
      </c>
      <c r="H248" s="7">
        <v>45152</v>
      </c>
      <c r="I248" s="5" t="s">
        <v>16</v>
      </c>
      <c r="J248" s="5" t="s">
        <v>29</v>
      </c>
      <c r="K248" s="5">
        <v>710.07</v>
      </c>
      <c r="L248" s="8" t="s">
        <v>63</v>
      </c>
    </row>
    <row r="249" spans="1:12">
      <c r="A249" s="9" t="s">
        <v>309</v>
      </c>
      <c r="B249" s="10" t="s">
        <v>35</v>
      </c>
      <c r="C249" s="10" t="s">
        <v>21</v>
      </c>
      <c r="D249" s="10">
        <v>1463.35</v>
      </c>
      <c r="E249" s="10">
        <v>0.47</v>
      </c>
      <c r="F249" s="10">
        <v>6</v>
      </c>
      <c r="G249" s="12">
        <v>45114</v>
      </c>
      <c r="H249" s="12">
        <v>45121</v>
      </c>
      <c r="I249" s="10" t="s">
        <v>16</v>
      </c>
      <c r="J249" s="10" t="s">
        <v>17</v>
      </c>
      <c r="K249" s="10">
        <v>374.36</v>
      </c>
      <c r="L249" s="13" t="s">
        <v>59</v>
      </c>
    </row>
    <row r="250" spans="1:12">
      <c r="A250" s="4" t="s">
        <v>310</v>
      </c>
      <c r="B250" s="5" t="s">
        <v>14</v>
      </c>
      <c r="C250" s="5" t="s">
        <v>28</v>
      </c>
      <c r="D250" s="5">
        <v>2079.39</v>
      </c>
      <c r="E250" s="5">
        <v>0.05</v>
      </c>
      <c r="F250" s="5">
        <v>6</v>
      </c>
      <c r="G250" s="7">
        <v>45351</v>
      </c>
      <c r="H250" s="7">
        <v>45353</v>
      </c>
      <c r="I250" s="5" t="s">
        <v>16</v>
      </c>
      <c r="J250" s="5" t="s">
        <v>17</v>
      </c>
      <c r="K250" s="5">
        <v>214.85</v>
      </c>
      <c r="L250" s="8" t="s">
        <v>74</v>
      </c>
    </row>
    <row r="251" spans="1:12">
      <c r="A251" s="9" t="s">
        <v>311</v>
      </c>
      <c r="B251" s="10" t="s">
        <v>20</v>
      </c>
      <c r="C251" s="10" t="s">
        <v>47</v>
      </c>
      <c r="D251" s="10">
        <v>4051.32</v>
      </c>
      <c r="E251" s="10">
        <v>0.13</v>
      </c>
      <c r="F251" s="10">
        <v>1</v>
      </c>
      <c r="G251" s="12">
        <v>45475</v>
      </c>
      <c r="H251" s="12">
        <v>45482</v>
      </c>
      <c r="I251" s="10" t="s">
        <v>16</v>
      </c>
      <c r="J251" s="10" t="s">
        <v>29</v>
      </c>
      <c r="K251" s="10">
        <v>675.38</v>
      </c>
      <c r="L251" s="13" t="s">
        <v>63</v>
      </c>
    </row>
    <row r="252" spans="1:12">
      <c r="A252" s="4" t="s">
        <v>312</v>
      </c>
      <c r="B252" s="5" t="s">
        <v>27</v>
      </c>
      <c r="C252" s="5" t="s">
        <v>21</v>
      </c>
      <c r="D252" s="5">
        <v>3831.6</v>
      </c>
      <c r="E252" s="5">
        <v>0.43</v>
      </c>
      <c r="F252" s="5">
        <v>1</v>
      </c>
      <c r="G252" s="7">
        <v>45437</v>
      </c>
      <c r="H252" s="7">
        <v>45444</v>
      </c>
      <c r="I252" s="5" t="s">
        <v>16</v>
      </c>
      <c r="J252" s="5" t="s">
        <v>23</v>
      </c>
      <c r="K252" s="5">
        <v>906.63</v>
      </c>
      <c r="L252" s="8" t="s">
        <v>18</v>
      </c>
    </row>
    <row r="253" spans="1:12">
      <c r="A253" s="9" t="s">
        <v>313</v>
      </c>
      <c r="B253" s="10" t="s">
        <v>35</v>
      </c>
      <c r="C253" s="10" t="s">
        <v>15</v>
      </c>
      <c r="D253" s="10">
        <v>3720.16</v>
      </c>
      <c r="E253" s="10">
        <v>0.01</v>
      </c>
      <c r="F253" s="10">
        <v>6</v>
      </c>
      <c r="G253" s="12">
        <v>45132</v>
      </c>
      <c r="H253" s="12">
        <v>45138</v>
      </c>
      <c r="I253" s="10" t="s">
        <v>42</v>
      </c>
      <c r="J253" s="10" t="s">
        <v>23</v>
      </c>
      <c r="K253" s="10">
        <v>974.82</v>
      </c>
      <c r="L253" s="13" t="s">
        <v>118</v>
      </c>
    </row>
    <row r="254" spans="1:12">
      <c r="A254" s="4" t="s">
        <v>314</v>
      </c>
      <c r="B254" s="5" t="s">
        <v>14</v>
      </c>
      <c r="C254" s="5" t="s">
        <v>47</v>
      </c>
      <c r="D254" s="5">
        <v>3774.14</v>
      </c>
      <c r="E254" s="5">
        <v>0.3</v>
      </c>
      <c r="F254" s="5">
        <v>6</v>
      </c>
      <c r="G254" s="7">
        <v>45297</v>
      </c>
      <c r="H254" s="7">
        <v>45299</v>
      </c>
      <c r="I254" s="5" t="s">
        <v>22</v>
      </c>
      <c r="J254" s="5" t="s">
        <v>17</v>
      </c>
      <c r="K254" s="5">
        <v>268.47000000000003</v>
      </c>
      <c r="L254" s="8" t="s">
        <v>36</v>
      </c>
    </row>
    <row r="255" spans="1:12">
      <c r="A255" s="9" t="s">
        <v>315</v>
      </c>
      <c r="B255" s="10" t="s">
        <v>20</v>
      </c>
      <c r="C255" s="10" t="s">
        <v>15</v>
      </c>
      <c r="D255" s="10">
        <v>805.04</v>
      </c>
      <c r="E255" s="10">
        <v>0.48</v>
      </c>
      <c r="F255" s="10">
        <v>4</v>
      </c>
      <c r="G255" s="12">
        <v>45400</v>
      </c>
      <c r="H255" s="12">
        <v>45401</v>
      </c>
      <c r="I255" s="10" t="s">
        <v>16</v>
      </c>
      <c r="J255" s="10" t="s">
        <v>29</v>
      </c>
      <c r="K255" s="10">
        <v>179.9</v>
      </c>
      <c r="L255" s="13" t="s">
        <v>74</v>
      </c>
    </row>
    <row r="256" spans="1:12">
      <c r="A256" s="4" t="s">
        <v>316</v>
      </c>
      <c r="B256" s="5" t="s">
        <v>27</v>
      </c>
      <c r="C256" s="5" t="s">
        <v>47</v>
      </c>
      <c r="D256" s="5">
        <v>585.57000000000005</v>
      </c>
      <c r="E256" s="5">
        <v>0.34</v>
      </c>
      <c r="F256" s="5">
        <v>8</v>
      </c>
      <c r="G256" s="7">
        <v>45318</v>
      </c>
      <c r="H256" s="7">
        <v>45321</v>
      </c>
      <c r="I256" s="5" t="s">
        <v>16</v>
      </c>
      <c r="J256" s="5" t="s">
        <v>29</v>
      </c>
      <c r="K256" s="5">
        <v>51.66</v>
      </c>
      <c r="L256" s="8" t="s">
        <v>84</v>
      </c>
    </row>
    <row r="257" spans="1:12">
      <c r="A257" s="9" t="s">
        <v>317</v>
      </c>
      <c r="B257" s="10" t="s">
        <v>35</v>
      </c>
      <c r="C257" s="10" t="s">
        <v>21</v>
      </c>
      <c r="D257" s="10">
        <v>4321.34</v>
      </c>
      <c r="E257" s="10">
        <v>0.05</v>
      </c>
      <c r="F257" s="10">
        <v>9</v>
      </c>
      <c r="G257" s="12">
        <v>45405</v>
      </c>
      <c r="H257" s="12">
        <v>45406</v>
      </c>
      <c r="I257" s="10" t="s">
        <v>16</v>
      </c>
      <c r="J257" s="10" t="s">
        <v>17</v>
      </c>
      <c r="K257" s="10">
        <v>330.56</v>
      </c>
      <c r="L257" s="13" t="s">
        <v>77</v>
      </c>
    </row>
    <row r="258" spans="1:12">
      <c r="A258" s="4" t="s">
        <v>318</v>
      </c>
      <c r="B258" s="5" t="s">
        <v>14</v>
      </c>
      <c r="C258" s="5" t="s">
        <v>52</v>
      </c>
      <c r="D258" s="5">
        <v>4202.16</v>
      </c>
      <c r="E258" s="5">
        <v>0.37</v>
      </c>
      <c r="F258" s="5">
        <v>6</v>
      </c>
      <c r="G258" s="7">
        <v>45435</v>
      </c>
      <c r="H258" s="7">
        <v>45442</v>
      </c>
      <c r="I258" s="5" t="s">
        <v>16</v>
      </c>
      <c r="J258" s="5" t="s">
        <v>17</v>
      </c>
      <c r="K258" s="5">
        <v>1096.27</v>
      </c>
      <c r="L258" s="8" t="s">
        <v>56</v>
      </c>
    </row>
    <row r="259" spans="1:12">
      <c r="A259" s="9" t="s">
        <v>319</v>
      </c>
      <c r="B259" s="10" t="s">
        <v>20</v>
      </c>
      <c r="C259" s="10" t="s">
        <v>21</v>
      </c>
      <c r="D259" s="10">
        <v>3438.46</v>
      </c>
      <c r="E259" s="10">
        <v>0.19</v>
      </c>
      <c r="F259" s="10">
        <v>8</v>
      </c>
      <c r="G259" s="12">
        <v>44983</v>
      </c>
      <c r="H259" s="12">
        <v>44986</v>
      </c>
      <c r="I259" s="10" t="s">
        <v>22</v>
      </c>
      <c r="J259" s="10" t="s">
        <v>29</v>
      </c>
      <c r="K259" s="10">
        <v>848.11</v>
      </c>
      <c r="L259" s="13" t="s">
        <v>54</v>
      </c>
    </row>
    <row r="260" spans="1:12">
      <c r="A260" s="4" t="s">
        <v>320</v>
      </c>
      <c r="B260" s="5" t="s">
        <v>27</v>
      </c>
      <c r="C260" s="5" t="s">
        <v>28</v>
      </c>
      <c r="D260" s="5">
        <v>3068.94</v>
      </c>
      <c r="E260" s="5">
        <v>0.46</v>
      </c>
      <c r="F260" s="5">
        <v>8</v>
      </c>
      <c r="G260" s="7">
        <v>44993</v>
      </c>
      <c r="H260" s="7">
        <v>44998</v>
      </c>
      <c r="I260" s="5" t="s">
        <v>22</v>
      </c>
      <c r="J260" s="5" t="s">
        <v>23</v>
      </c>
      <c r="K260" s="5">
        <v>726.26</v>
      </c>
      <c r="L260" s="8" t="s">
        <v>24</v>
      </c>
    </row>
    <row r="261" spans="1:12">
      <c r="A261" s="9" t="s">
        <v>321</v>
      </c>
      <c r="B261" s="10" t="s">
        <v>35</v>
      </c>
      <c r="C261" s="10" t="s">
        <v>28</v>
      </c>
      <c r="D261" s="10">
        <v>1897.67</v>
      </c>
      <c r="E261" s="10">
        <v>0.14000000000000001</v>
      </c>
      <c r="F261" s="10">
        <v>2</v>
      </c>
      <c r="G261" s="12">
        <v>44954</v>
      </c>
      <c r="H261" s="12">
        <v>44959</v>
      </c>
      <c r="I261" s="10" t="s">
        <v>42</v>
      </c>
      <c r="J261" s="10" t="s">
        <v>17</v>
      </c>
      <c r="K261" s="10">
        <v>106.36</v>
      </c>
      <c r="L261" s="13" t="s">
        <v>56</v>
      </c>
    </row>
    <row r="262" spans="1:12">
      <c r="A262" s="4" t="s">
        <v>322</v>
      </c>
      <c r="B262" s="5" t="s">
        <v>14</v>
      </c>
      <c r="C262" s="5" t="s">
        <v>47</v>
      </c>
      <c r="D262" s="5">
        <v>1198</v>
      </c>
      <c r="E262" s="5">
        <v>0.24</v>
      </c>
      <c r="F262" s="5">
        <v>4</v>
      </c>
      <c r="G262" s="7">
        <v>45580</v>
      </c>
      <c r="H262" s="7">
        <v>45587</v>
      </c>
      <c r="I262" s="5" t="s">
        <v>22</v>
      </c>
      <c r="J262" s="5" t="s">
        <v>23</v>
      </c>
      <c r="K262" s="5">
        <v>136.83000000000001</v>
      </c>
      <c r="L262" s="8" t="s">
        <v>36</v>
      </c>
    </row>
    <row r="263" spans="1:12">
      <c r="A263" s="9" t="s">
        <v>323</v>
      </c>
      <c r="B263" s="10" t="s">
        <v>20</v>
      </c>
      <c r="C263" s="10" t="s">
        <v>28</v>
      </c>
      <c r="D263" s="10">
        <v>3371.52</v>
      </c>
      <c r="E263" s="10">
        <v>0.37</v>
      </c>
      <c r="F263" s="10">
        <v>1</v>
      </c>
      <c r="G263" s="12">
        <v>45577</v>
      </c>
      <c r="H263" s="12">
        <v>45583</v>
      </c>
      <c r="I263" s="10" t="s">
        <v>16</v>
      </c>
      <c r="J263" s="10" t="s">
        <v>23</v>
      </c>
      <c r="K263" s="10">
        <v>531.95000000000005</v>
      </c>
      <c r="L263" s="13" t="s">
        <v>25</v>
      </c>
    </row>
    <row r="264" spans="1:12">
      <c r="A264" s="4" t="s">
        <v>324</v>
      </c>
      <c r="B264" s="5" t="s">
        <v>27</v>
      </c>
      <c r="C264" s="5" t="s">
        <v>21</v>
      </c>
      <c r="D264" s="5">
        <v>4573.87</v>
      </c>
      <c r="E264" s="5">
        <v>0.13</v>
      </c>
      <c r="F264" s="5">
        <v>1</v>
      </c>
      <c r="G264" s="7">
        <v>45158</v>
      </c>
      <c r="H264" s="7">
        <v>45161</v>
      </c>
      <c r="I264" s="5" t="s">
        <v>16</v>
      </c>
      <c r="J264" s="5" t="s">
        <v>29</v>
      </c>
      <c r="K264" s="5">
        <v>1235</v>
      </c>
      <c r="L264" s="8" t="s">
        <v>84</v>
      </c>
    </row>
    <row r="265" spans="1:12">
      <c r="A265" s="9" t="s">
        <v>325</v>
      </c>
      <c r="B265" s="10" t="s">
        <v>35</v>
      </c>
      <c r="C265" s="10" t="s">
        <v>15</v>
      </c>
      <c r="D265" s="10">
        <v>2241.2800000000002</v>
      </c>
      <c r="E265" s="10">
        <v>0.09</v>
      </c>
      <c r="F265" s="10">
        <v>6</v>
      </c>
      <c r="G265" s="12">
        <v>45033</v>
      </c>
      <c r="H265" s="12">
        <v>45038</v>
      </c>
      <c r="I265" s="10" t="s">
        <v>16</v>
      </c>
      <c r="J265" s="10" t="s">
        <v>23</v>
      </c>
      <c r="K265" s="10">
        <v>405.21</v>
      </c>
      <c r="L265" s="13" t="s">
        <v>54</v>
      </c>
    </row>
    <row r="266" spans="1:12">
      <c r="A266" s="4" t="s">
        <v>326</v>
      </c>
      <c r="B266" s="5" t="s">
        <v>14</v>
      </c>
      <c r="C266" s="5" t="s">
        <v>21</v>
      </c>
      <c r="D266" s="5">
        <v>1585.74</v>
      </c>
      <c r="E266" s="5">
        <v>0</v>
      </c>
      <c r="F266" s="5">
        <v>7</v>
      </c>
      <c r="G266" s="7">
        <v>45063</v>
      </c>
      <c r="H266" s="7">
        <v>45066</v>
      </c>
      <c r="I266" s="5" t="s">
        <v>16</v>
      </c>
      <c r="J266" s="5" t="s">
        <v>23</v>
      </c>
      <c r="K266" s="5">
        <v>276.95999999999998</v>
      </c>
      <c r="L266" s="8" t="s">
        <v>118</v>
      </c>
    </row>
    <row r="267" spans="1:12">
      <c r="A267" s="9" t="s">
        <v>327</v>
      </c>
      <c r="B267" s="10" t="s">
        <v>20</v>
      </c>
      <c r="C267" s="10" t="s">
        <v>47</v>
      </c>
      <c r="D267" s="10">
        <v>1426.63</v>
      </c>
      <c r="E267" s="10">
        <v>0.24</v>
      </c>
      <c r="F267" s="10">
        <v>5</v>
      </c>
      <c r="G267" s="12">
        <v>45304</v>
      </c>
      <c r="H267" s="12">
        <v>45311</v>
      </c>
      <c r="I267" s="10" t="s">
        <v>22</v>
      </c>
      <c r="J267" s="10" t="s">
        <v>29</v>
      </c>
      <c r="K267" s="10">
        <v>72.98</v>
      </c>
      <c r="L267" s="13" t="s">
        <v>56</v>
      </c>
    </row>
    <row r="268" spans="1:12">
      <c r="A268" s="4" t="s">
        <v>328</v>
      </c>
      <c r="B268" s="5" t="s">
        <v>27</v>
      </c>
      <c r="C268" s="5" t="s">
        <v>28</v>
      </c>
      <c r="D268" s="5">
        <v>216.16</v>
      </c>
      <c r="E268" s="5">
        <v>0.46</v>
      </c>
      <c r="F268" s="5">
        <v>8</v>
      </c>
      <c r="G268" s="7">
        <v>45602</v>
      </c>
      <c r="H268" s="7">
        <v>45608</v>
      </c>
      <c r="I268" s="5" t="s">
        <v>22</v>
      </c>
      <c r="J268" s="5" t="s">
        <v>17</v>
      </c>
      <c r="K268" s="5">
        <v>55.65</v>
      </c>
      <c r="L268" s="8" t="s">
        <v>56</v>
      </c>
    </row>
    <row r="269" spans="1:12">
      <c r="A269" s="9" t="s">
        <v>329</v>
      </c>
      <c r="B269" s="10" t="s">
        <v>35</v>
      </c>
      <c r="C269" s="10" t="s">
        <v>15</v>
      </c>
      <c r="D269" s="10">
        <v>2649.55</v>
      </c>
      <c r="E269" s="10">
        <v>0.14000000000000001</v>
      </c>
      <c r="F269" s="10">
        <v>9</v>
      </c>
      <c r="G269" s="12">
        <v>45585</v>
      </c>
      <c r="H269" s="12">
        <v>45591</v>
      </c>
      <c r="I269" s="10" t="s">
        <v>42</v>
      </c>
      <c r="J269" s="10" t="s">
        <v>23</v>
      </c>
      <c r="K269" s="10">
        <v>520.04</v>
      </c>
      <c r="L269" s="13" t="s">
        <v>56</v>
      </c>
    </row>
    <row r="270" spans="1:12">
      <c r="A270" s="4" t="s">
        <v>330</v>
      </c>
      <c r="B270" s="5" t="s">
        <v>14</v>
      </c>
      <c r="C270" s="5" t="s">
        <v>52</v>
      </c>
      <c r="D270" s="5">
        <v>4942.3599999999997</v>
      </c>
      <c r="E270" s="5">
        <v>0.02</v>
      </c>
      <c r="F270" s="5">
        <v>4</v>
      </c>
      <c r="G270" s="7">
        <v>45317</v>
      </c>
      <c r="H270" s="7">
        <v>45323</v>
      </c>
      <c r="I270" s="5" t="s">
        <v>22</v>
      </c>
      <c r="J270" s="5" t="s">
        <v>17</v>
      </c>
      <c r="K270" s="5">
        <v>705.97</v>
      </c>
      <c r="L270" s="8" t="s">
        <v>70</v>
      </c>
    </row>
    <row r="271" spans="1:12">
      <c r="A271" s="9" t="s">
        <v>331</v>
      </c>
      <c r="B271" s="10" t="s">
        <v>20</v>
      </c>
      <c r="C271" s="10" t="s">
        <v>15</v>
      </c>
      <c r="D271" s="10">
        <v>4094.66</v>
      </c>
      <c r="E271" s="10">
        <v>0.31</v>
      </c>
      <c r="F271" s="10">
        <v>1</v>
      </c>
      <c r="G271" s="12">
        <v>45617</v>
      </c>
      <c r="H271" s="12">
        <v>45622</v>
      </c>
      <c r="I271" s="10" t="s">
        <v>16</v>
      </c>
      <c r="J271" s="10" t="s">
        <v>29</v>
      </c>
      <c r="K271" s="10">
        <v>369.04</v>
      </c>
      <c r="L271" s="13" t="s">
        <v>25</v>
      </c>
    </row>
    <row r="272" spans="1:12">
      <c r="A272" s="4" t="s">
        <v>332</v>
      </c>
      <c r="B272" s="5" t="s">
        <v>27</v>
      </c>
      <c r="C272" s="5" t="s">
        <v>15</v>
      </c>
      <c r="D272" s="5">
        <v>4497.63</v>
      </c>
      <c r="E272" s="5">
        <v>0.03</v>
      </c>
      <c r="F272" s="5">
        <v>6</v>
      </c>
      <c r="G272" s="7">
        <v>45525</v>
      </c>
      <c r="H272" s="7">
        <v>45531</v>
      </c>
      <c r="I272" s="5" t="s">
        <v>16</v>
      </c>
      <c r="J272" s="5" t="s">
        <v>29</v>
      </c>
      <c r="K272" s="5">
        <v>696.38</v>
      </c>
      <c r="L272" s="8" t="s">
        <v>36</v>
      </c>
    </row>
    <row r="273" spans="1:12">
      <c r="A273" s="9" t="s">
        <v>333</v>
      </c>
      <c r="B273" s="10" t="s">
        <v>35</v>
      </c>
      <c r="C273" s="10" t="s">
        <v>21</v>
      </c>
      <c r="D273" s="10">
        <v>3143.7</v>
      </c>
      <c r="E273" s="10">
        <v>0.25</v>
      </c>
      <c r="F273" s="10">
        <v>1</v>
      </c>
      <c r="G273" s="12">
        <v>45002</v>
      </c>
      <c r="H273" s="12">
        <v>45006</v>
      </c>
      <c r="I273" s="10" t="s">
        <v>22</v>
      </c>
      <c r="J273" s="10" t="s">
        <v>29</v>
      </c>
      <c r="K273" s="10">
        <v>344.8</v>
      </c>
      <c r="L273" s="13" t="s">
        <v>36</v>
      </c>
    </row>
    <row r="274" spans="1:12">
      <c r="A274" s="4" t="s">
        <v>334</v>
      </c>
      <c r="B274" s="5" t="s">
        <v>14</v>
      </c>
      <c r="C274" s="5" t="s">
        <v>52</v>
      </c>
      <c r="D274" s="5">
        <v>2459.09</v>
      </c>
      <c r="E274" s="5">
        <v>0.19</v>
      </c>
      <c r="F274" s="5">
        <v>2</v>
      </c>
      <c r="G274" s="7">
        <v>45381</v>
      </c>
      <c r="H274" s="7">
        <v>45388</v>
      </c>
      <c r="I274" s="5" t="s">
        <v>42</v>
      </c>
      <c r="J274" s="5" t="s">
        <v>29</v>
      </c>
      <c r="K274" s="5">
        <v>399.72</v>
      </c>
      <c r="L274" s="8" t="s">
        <v>84</v>
      </c>
    </row>
    <row r="275" spans="1:12">
      <c r="A275" s="9" t="s">
        <v>335</v>
      </c>
      <c r="B275" s="10" t="s">
        <v>20</v>
      </c>
      <c r="C275" s="10" t="s">
        <v>47</v>
      </c>
      <c r="D275" s="10">
        <v>4953.24</v>
      </c>
      <c r="E275" s="10">
        <v>0.24</v>
      </c>
      <c r="F275" s="10">
        <v>4</v>
      </c>
      <c r="G275" s="12">
        <v>45271</v>
      </c>
      <c r="H275" s="12">
        <v>45273</v>
      </c>
      <c r="I275" s="10" t="s">
        <v>42</v>
      </c>
      <c r="J275" s="10" t="s">
        <v>29</v>
      </c>
      <c r="K275" s="10">
        <v>627.20000000000005</v>
      </c>
      <c r="L275" s="13" t="s">
        <v>118</v>
      </c>
    </row>
    <row r="276" spans="1:12">
      <c r="A276" s="4" t="s">
        <v>336</v>
      </c>
      <c r="B276" s="5" t="s">
        <v>27</v>
      </c>
      <c r="C276" s="5" t="s">
        <v>47</v>
      </c>
      <c r="D276" s="5">
        <v>2291.09</v>
      </c>
      <c r="E276" s="5">
        <v>0.08</v>
      </c>
      <c r="F276" s="5">
        <v>4</v>
      </c>
      <c r="G276" s="7">
        <v>45516</v>
      </c>
      <c r="H276" s="7">
        <v>45521</v>
      </c>
      <c r="I276" s="5" t="s">
        <v>22</v>
      </c>
      <c r="J276" s="5" t="s">
        <v>17</v>
      </c>
      <c r="K276" s="5">
        <v>139.74</v>
      </c>
      <c r="L276" s="8" t="s">
        <v>84</v>
      </c>
    </row>
    <row r="277" spans="1:12">
      <c r="A277" s="9" t="s">
        <v>337</v>
      </c>
      <c r="B277" s="10" t="s">
        <v>35</v>
      </c>
      <c r="C277" s="10" t="s">
        <v>15</v>
      </c>
      <c r="D277" s="10">
        <v>4592.47</v>
      </c>
      <c r="E277" s="10">
        <v>0.05</v>
      </c>
      <c r="F277" s="10">
        <v>6</v>
      </c>
      <c r="G277" s="12">
        <v>45496</v>
      </c>
      <c r="H277" s="12">
        <v>45501</v>
      </c>
      <c r="I277" s="10" t="s">
        <v>22</v>
      </c>
      <c r="J277" s="10" t="s">
        <v>17</v>
      </c>
      <c r="K277" s="10">
        <v>1369.07</v>
      </c>
      <c r="L277" s="13" t="s">
        <v>118</v>
      </c>
    </row>
    <row r="278" spans="1:12">
      <c r="A278" s="4" t="s">
        <v>338</v>
      </c>
      <c r="B278" s="5" t="s">
        <v>14</v>
      </c>
      <c r="C278" s="5" t="s">
        <v>15</v>
      </c>
      <c r="D278" s="5">
        <v>3833.04</v>
      </c>
      <c r="E278" s="5">
        <v>0.37</v>
      </c>
      <c r="F278" s="5">
        <v>8</v>
      </c>
      <c r="G278" s="7">
        <v>45641</v>
      </c>
      <c r="H278" s="7">
        <v>45645</v>
      </c>
      <c r="I278" s="5" t="s">
        <v>22</v>
      </c>
      <c r="J278" s="5" t="s">
        <v>29</v>
      </c>
      <c r="K278" s="5">
        <v>620.79</v>
      </c>
      <c r="L278" s="8" t="s">
        <v>82</v>
      </c>
    </row>
    <row r="279" spans="1:12">
      <c r="A279" s="9" t="s">
        <v>339</v>
      </c>
      <c r="B279" s="10" t="s">
        <v>20</v>
      </c>
      <c r="C279" s="10" t="s">
        <v>28</v>
      </c>
      <c r="D279" s="10">
        <v>1721.79</v>
      </c>
      <c r="E279" s="10">
        <v>0.12</v>
      </c>
      <c r="F279" s="10">
        <v>3</v>
      </c>
      <c r="G279" s="12">
        <v>45385</v>
      </c>
      <c r="H279" s="12">
        <v>45386</v>
      </c>
      <c r="I279" s="10" t="s">
        <v>16</v>
      </c>
      <c r="J279" s="10" t="s">
        <v>23</v>
      </c>
      <c r="K279" s="10">
        <v>436.28</v>
      </c>
      <c r="L279" s="13" t="s">
        <v>24</v>
      </c>
    </row>
    <row r="280" spans="1:12">
      <c r="A280" s="4" t="s">
        <v>340</v>
      </c>
      <c r="B280" s="5" t="s">
        <v>27</v>
      </c>
      <c r="C280" s="5" t="s">
        <v>52</v>
      </c>
      <c r="D280" s="5">
        <v>2565</v>
      </c>
      <c r="E280" s="5">
        <v>0.4</v>
      </c>
      <c r="F280" s="5">
        <v>6</v>
      </c>
      <c r="G280" s="7">
        <v>45289</v>
      </c>
      <c r="H280" s="7">
        <v>45293</v>
      </c>
      <c r="I280" s="5" t="s">
        <v>22</v>
      </c>
      <c r="J280" s="5" t="s">
        <v>29</v>
      </c>
      <c r="K280" s="5">
        <v>202.72</v>
      </c>
      <c r="L280" s="8" t="s">
        <v>74</v>
      </c>
    </row>
    <row r="281" spans="1:12">
      <c r="A281" s="9" t="s">
        <v>341</v>
      </c>
      <c r="B281" s="10" t="s">
        <v>35</v>
      </c>
      <c r="C281" s="10" t="s">
        <v>15</v>
      </c>
      <c r="D281" s="10">
        <v>1983.21</v>
      </c>
      <c r="E281" s="10">
        <v>0.38</v>
      </c>
      <c r="F281" s="10">
        <v>3</v>
      </c>
      <c r="G281" s="12">
        <v>45500</v>
      </c>
      <c r="H281" s="12">
        <v>45505</v>
      </c>
      <c r="I281" s="10" t="s">
        <v>22</v>
      </c>
      <c r="J281" s="10" t="s">
        <v>29</v>
      </c>
      <c r="K281" s="10">
        <v>400.98</v>
      </c>
      <c r="L281" s="13" t="s">
        <v>63</v>
      </c>
    </row>
    <row r="282" spans="1:12">
      <c r="A282" s="4" t="s">
        <v>342</v>
      </c>
      <c r="B282" s="5" t="s">
        <v>14</v>
      </c>
      <c r="C282" s="5" t="s">
        <v>28</v>
      </c>
      <c r="D282" s="5">
        <v>767.49</v>
      </c>
      <c r="E282" s="5">
        <v>0.1</v>
      </c>
      <c r="F282" s="5">
        <v>2</v>
      </c>
      <c r="G282" s="7">
        <v>45069</v>
      </c>
      <c r="H282" s="7">
        <v>45073</v>
      </c>
      <c r="I282" s="5" t="s">
        <v>42</v>
      </c>
      <c r="J282" s="5" t="s">
        <v>23</v>
      </c>
      <c r="K282" s="5">
        <v>139.09</v>
      </c>
      <c r="L282" s="8" t="s">
        <v>77</v>
      </c>
    </row>
    <row r="283" spans="1:12">
      <c r="A283" s="9" t="s">
        <v>343</v>
      </c>
      <c r="B283" s="10" t="s">
        <v>20</v>
      </c>
      <c r="C283" s="10" t="s">
        <v>52</v>
      </c>
      <c r="D283" s="10">
        <v>1848.16</v>
      </c>
      <c r="E283" s="10">
        <v>0.45</v>
      </c>
      <c r="F283" s="10">
        <v>4</v>
      </c>
      <c r="G283" s="12">
        <v>45505</v>
      </c>
      <c r="H283" s="12">
        <v>45509</v>
      </c>
      <c r="I283" s="10" t="s">
        <v>42</v>
      </c>
      <c r="J283" s="10" t="s">
        <v>23</v>
      </c>
      <c r="K283" s="10">
        <v>533.01</v>
      </c>
      <c r="L283" s="13" t="s">
        <v>36</v>
      </c>
    </row>
    <row r="284" spans="1:12">
      <c r="A284" s="4" t="s">
        <v>344</v>
      </c>
      <c r="B284" s="5" t="s">
        <v>27</v>
      </c>
      <c r="C284" s="5" t="s">
        <v>47</v>
      </c>
      <c r="D284" s="5">
        <v>4455.97</v>
      </c>
      <c r="E284" s="5">
        <v>0.08</v>
      </c>
      <c r="F284" s="5">
        <v>4</v>
      </c>
      <c r="G284" s="7">
        <v>45564</v>
      </c>
      <c r="H284" s="7">
        <v>45570</v>
      </c>
      <c r="I284" s="5" t="s">
        <v>16</v>
      </c>
      <c r="J284" s="5" t="s">
        <v>29</v>
      </c>
      <c r="K284" s="5">
        <v>1118.01</v>
      </c>
      <c r="L284" s="8" t="s">
        <v>30</v>
      </c>
    </row>
    <row r="285" spans="1:12">
      <c r="A285" s="9" t="s">
        <v>345</v>
      </c>
      <c r="B285" s="10" t="s">
        <v>35</v>
      </c>
      <c r="C285" s="10" t="s">
        <v>28</v>
      </c>
      <c r="D285" s="10">
        <v>3787.91</v>
      </c>
      <c r="E285" s="10">
        <v>0.4</v>
      </c>
      <c r="F285" s="10">
        <v>2</v>
      </c>
      <c r="G285" s="12">
        <v>45071</v>
      </c>
      <c r="H285" s="12">
        <v>45075</v>
      </c>
      <c r="I285" s="10" t="s">
        <v>42</v>
      </c>
      <c r="J285" s="10" t="s">
        <v>29</v>
      </c>
      <c r="K285" s="10">
        <v>580.76</v>
      </c>
      <c r="L285" s="13" t="s">
        <v>24</v>
      </c>
    </row>
    <row r="286" spans="1:12">
      <c r="A286" s="4" t="s">
        <v>346</v>
      </c>
      <c r="B286" s="5" t="s">
        <v>14</v>
      </c>
      <c r="C286" s="5" t="s">
        <v>52</v>
      </c>
      <c r="D286" s="5">
        <v>1460.15</v>
      </c>
      <c r="E286" s="5">
        <v>0.21</v>
      </c>
      <c r="F286" s="5">
        <v>3</v>
      </c>
      <c r="G286" s="7">
        <v>45295</v>
      </c>
      <c r="H286" s="7">
        <v>45302</v>
      </c>
      <c r="I286" s="5" t="s">
        <v>42</v>
      </c>
      <c r="J286" s="5" t="s">
        <v>23</v>
      </c>
      <c r="K286" s="5">
        <v>362.96</v>
      </c>
      <c r="L286" s="8" t="s">
        <v>24</v>
      </c>
    </row>
    <row r="287" spans="1:12">
      <c r="A287" s="9" t="s">
        <v>347</v>
      </c>
      <c r="B287" s="10" t="s">
        <v>20</v>
      </c>
      <c r="C287" s="10" t="s">
        <v>28</v>
      </c>
      <c r="D287" s="10">
        <v>1902.78</v>
      </c>
      <c r="E287" s="10">
        <v>0.09</v>
      </c>
      <c r="F287" s="10">
        <v>9</v>
      </c>
      <c r="G287" s="12">
        <v>45354</v>
      </c>
      <c r="H287" s="12">
        <v>45357</v>
      </c>
      <c r="I287" s="10" t="s">
        <v>22</v>
      </c>
      <c r="J287" s="10" t="s">
        <v>23</v>
      </c>
      <c r="K287" s="10">
        <v>289.24</v>
      </c>
      <c r="L287" s="13" t="s">
        <v>24</v>
      </c>
    </row>
    <row r="288" spans="1:12">
      <c r="A288" s="4" t="s">
        <v>348</v>
      </c>
      <c r="B288" s="5" t="s">
        <v>27</v>
      </c>
      <c r="C288" s="5" t="s">
        <v>15</v>
      </c>
      <c r="D288" s="5">
        <v>3120.53</v>
      </c>
      <c r="E288" s="5">
        <v>0.47</v>
      </c>
      <c r="F288" s="5">
        <v>9</v>
      </c>
      <c r="G288" s="7">
        <v>45641</v>
      </c>
      <c r="H288" s="7">
        <v>45645</v>
      </c>
      <c r="I288" s="5" t="s">
        <v>42</v>
      </c>
      <c r="J288" s="5" t="s">
        <v>29</v>
      </c>
      <c r="K288" s="5">
        <v>749.57</v>
      </c>
      <c r="L288" s="8" t="s">
        <v>18</v>
      </c>
    </row>
    <row r="289" spans="1:12">
      <c r="A289" s="9" t="s">
        <v>349</v>
      </c>
      <c r="B289" s="10" t="s">
        <v>35</v>
      </c>
      <c r="C289" s="10" t="s">
        <v>21</v>
      </c>
      <c r="D289" s="10">
        <v>2139.09</v>
      </c>
      <c r="E289" s="10">
        <v>0.48</v>
      </c>
      <c r="F289" s="10">
        <v>7</v>
      </c>
      <c r="G289" s="12">
        <v>45179</v>
      </c>
      <c r="H289" s="12">
        <v>45183</v>
      </c>
      <c r="I289" s="10" t="s">
        <v>42</v>
      </c>
      <c r="J289" s="10" t="s">
        <v>29</v>
      </c>
      <c r="K289" s="10">
        <v>262.82</v>
      </c>
      <c r="L289" s="13" t="s">
        <v>87</v>
      </c>
    </row>
    <row r="290" spans="1:12">
      <c r="A290" s="4" t="s">
        <v>350</v>
      </c>
      <c r="B290" s="5" t="s">
        <v>14</v>
      </c>
      <c r="C290" s="5" t="s">
        <v>47</v>
      </c>
      <c r="D290" s="5">
        <v>2564.92</v>
      </c>
      <c r="E290" s="5">
        <v>0.26</v>
      </c>
      <c r="F290" s="5">
        <v>2</v>
      </c>
      <c r="G290" s="7">
        <v>45548</v>
      </c>
      <c r="H290" s="7">
        <v>45555</v>
      </c>
      <c r="I290" s="5" t="s">
        <v>42</v>
      </c>
      <c r="J290" s="5" t="s">
        <v>23</v>
      </c>
      <c r="K290" s="5">
        <v>367.39</v>
      </c>
      <c r="L290" s="8" t="s">
        <v>77</v>
      </c>
    </row>
    <row r="291" spans="1:12">
      <c r="A291" s="9" t="s">
        <v>351</v>
      </c>
      <c r="B291" s="10" t="s">
        <v>20</v>
      </c>
      <c r="C291" s="10" t="s">
        <v>15</v>
      </c>
      <c r="D291" s="10">
        <v>3521.03</v>
      </c>
      <c r="E291" s="10">
        <v>0.23</v>
      </c>
      <c r="F291" s="10">
        <v>5</v>
      </c>
      <c r="G291" s="12">
        <v>45074</v>
      </c>
      <c r="H291" s="12">
        <v>45081</v>
      </c>
      <c r="I291" s="10" t="s">
        <v>42</v>
      </c>
      <c r="J291" s="10" t="s">
        <v>29</v>
      </c>
      <c r="K291" s="10">
        <v>709.19</v>
      </c>
      <c r="L291" s="13" t="s">
        <v>56</v>
      </c>
    </row>
    <row r="292" spans="1:12">
      <c r="A292" s="4" t="s">
        <v>352</v>
      </c>
      <c r="B292" s="5" t="s">
        <v>27</v>
      </c>
      <c r="C292" s="5" t="s">
        <v>15</v>
      </c>
      <c r="D292" s="5">
        <v>2389.5300000000002</v>
      </c>
      <c r="E292" s="5">
        <v>0.45</v>
      </c>
      <c r="F292" s="5">
        <v>8</v>
      </c>
      <c r="G292" s="7">
        <v>45053</v>
      </c>
      <c r="H292" s="7">
        <v>45058</v>
      </c>
      <c r="I292" s="5" t="s">
        <v>42</v>
      </c>
      <c r="J292" s="5" t="s">
        <v>17</v>
      </c>
      <c r="K292" s="5">
        <v>442.59</v>
      </c>
      <c r="L292" s="8" t="s">
        <v>25</v>
      </c>
    </row>
    <row r="293" spans="1:12">
      <c r="A293" s="9" t="s">
        <v>353</v>
      </c>
      <c r="B293" s="10" t="s">
        <v>35</v>
      </c>
      <c r="C293" s="10" t="s">
        <v>52</v>
      </c>
      <c r="D293" s="10">
        <v>1035.75</v>
      </c>
      <c r="E293" s="10">
        <v>0.3</v>
      </c>
      <c r="F293" s="10">
        <v>1</v>
      </c>
      <c r="G293" s="12">
        <v>45278</v>
      </c>
      <c r="H293" s="12">
        <v>45281</v>
      </c>
      <c r="I293" s="10" t="s">
        <v>42</v>
      </c>
      <c r="J293" s="10" t="s">
        <v>29</v>
      </c>
      <c r="K293" s="10">
        <v>154.19</v>
      </c>
      <c r="L293" s="13" t="s">
        <v>37</v>
      </c>
    </row>
    <row r="294" spans="1:12">
      <c r="A294" s="4" t="s">
        <v>354</v>
      </c>
      <c r="B294" s="5" t="s">
        <v>14</v>
      </c>
      <c r="C294" s="5" t="s">
        <v>28</v>
      </c>
      <c r="D294" s="5">
        <v>2650.81</v>
      </c>
      <c r="E294" s="5">
        <v>0.13</v>
      </c>
      <c r="F294" s="5">
        <v>1</v>
      </c>
      <c r="G294" s="7">
        <v>45047</v>
      </c>
      <c r="H294" s="7">
        <v>45048</v>
      </c>
      <c r="I294" s="5" t="s">
        <v>42</v>
      </c>
      <c r="J294" s="5" t="s">
        <v>23</v>
      </c>
      <c r="K294" s="5">
        <v>753.91</v>
      </c>
      <c r="L294" s="8" t="s">
        <v>74</v>
      </c>
    </row>
    <row r="295" spans="1:12">
      <c r="A295" s="9" t="s">
        <v>355</v>
      </c>
      <c r="B295" s="10" t="s">
        <v>20</v>
      </c>
      <c r="C295" s="10" t="s">
        <v>47</v>
      </c>
      <c r="D295" s="10">
        <v>1844.98</v>
      </c>
      <c r="E295" s="10">
        <v>0.21</v>
      </c>
      <c r="F295" s="10">
        <v>6</v>
      </c>
      <c r="G295" s="12">
        <v>45300</v>
      </c>
      <c r="H295" s="12">
        <v>45303</v>
      </c>
      <c r="I295" s="10" t="s">
        <v>42</v>
      </c>
      <c r="J295" s="10" t="s">
        <v>17</v>
      </c>
      <c r="K295" s="10">
        <v>324.74</v>
      </c>
      <c r="L295" s="13" t="s">
        <v>77</v>
      </c>
    </row>
    <row r="296" spans="1:12">
      <c r="A296" s="4" t="s">
        <v>356</v>
      </c>
      <c r="B296" s="5" t="s">
        <v>27</v>
      </c>
      <c r="C296" s="5" t="s">
        <v>15</v>
      </c>
      <c r="D296" s="5">
        <v>1524.6</v>
      </c>
      <c r="E296" s="5">
        <v>0.42</v>
      </c>
      <c r="F296" s="5">
        <v>7</v>
      </c>
      <c r="G296" s="7">
        <v>45267</v>
      </c>
      <c r="H296" s="7">
        <v>45270</v>
      </c>
      <c r="I296" s="5" t="s">
        <v>16</v>
      </c>
      <c r="J296" s="5" t="s">
        <v>29</v>
      </c>
      <c r="K296" s="5">
        <v>351.13</v>
      </c>
      <c r="L296" s="8" t="s">
        <v>56</v>
      </c>
    </row>
    <row r="297" spans="1:12">
      <c r="A297" s="9" t="s">
        <v>357</v>
      </c>
      <c r="B297" s="10" t="s">
        <v>35</v>
      </c>
      <c r="C297" s="10" t="s">
        <v>52</v>
      </c>
      <c r="D297" s="10">
        <v>1707.73</v>
      </c>
      <c r="E297" s="10">
        <v>0.43</v>
      </c>
      <c r="F297" s="10">
        <v>7</v>
      </c>
      <c r="G297" s="12">
        <v>44957</v>
      </c>
      <c r="H297" s="12">
        <v>44964</v>
      </c>
      <c r="I297" s="10" t="s">
        <v>22</v>
      </c>
      <c r="J297" s="10" t="s">
        <v>23</v>
      </c>
      <c r="K297" s="10">
        <v>263.39999999999998</v>
      </c>
      <c r="L297" s="13" t="s">
        <v>59</v>
      </c>
    </row>
    <row r="298" spans="1:12">
      <c r="A298" s="4" t="s">
        <v>358</v>
      </c>
      <c r="B298" s="5" t="s">
        <v>14</v>
      </c>
      <c r="C298" s="5" t="s">
        <v>47</v>
      </c>
      <c r="D298" s="5">
        <v>2251.11</v>
      </c>
      <c r="E298" s="5">
        <v>0.47</v>
      </c>
      <c r="F298" s="5">
        <v>3</v>
      </c>
      <c r="G298" s="7">
        <v>45271</v>
      </c>
      <c r="H298" s="7">
        <v>45278</v>
      </c>
      <c r="I298" s="5" t="s">
        <v>42</v>
      </c>
      <c r="J298" s="5" t="s">
        <v>17</v>
      </c>
      <c r="K298" s="5">
        <v>519.6</v>
      </c>
      <c r="L298" s="8" t="s">
        <v>87</v>
      </c>
    </row>
    <row r="299" spans="1:12">
      <c r="A299" s="9" t="s">
        <v>359</v>
      </c>
      <c r="B299" s="10" t="s">
        <v>20</v>
      </c>
      <c r="C299" s="10" t="s">
        <v>28</v>
      </c>
      <c r="D299" s="10">
        <v>4444.3999999999996</v>
      </c>
      <c r="E299" s="10">
        <v>0.14000000000000001</v>
      </c>
      <c r="F299" s="10">
        <v>4</v>
      </c>
      <c r="G299" s="12">
        <v>45479</v>
      </c>
      <c r="H299" s="12">
        <v>45482</v>
      </c>
      <c r="I299" s="10" t="s">
        <v>22</v>
      </c>
      <c r="J299" s="10" t="s">
        <v>23</v>
      </c>
      <c r="K299" s="10">
        <v>1102.6300000000001</v>
      </c>
      <c r="L299" s="13" t="s">
        <v>30</v>
      </c>
    </row>
    <row r="300" spans="1:12">
      <c r="A300" s="4" t="s">
        <v>360</v>
      </c>
      <c r="B300" s="5" t="s">
        <v>27</v>
      </c>
      <c r="C300" s="5" t="s">
        <v>15</v>
      </c>
      <c r="D300" s="5">
        <v>3696.88</v>
      </c>
      <c r="E300" s="5">
        <v>0.34</v>
      </c>
      <c r="F300" s="5">
        <v>9</v>
      </c>
      <c r="G300" s="7">
        <v>45130</v>
      </c>
      <c r="H300" s="7">
        <v>45135</v>
      </c>
      <c r="I300" s="5" t="s">
        <v>42</v>
      </c>
      <c r="J300" s="5" t="s">
        <v>29</v>
      </c>
      <c r="K300" s="5">
        <v>690.48</v>
      </c>
      <c r="L300" s="8" t="s">
        <v>87</v>
      </c>
    </row>
    <row r="301" spans="1:12">
      <c r="A301" s="9" t="s">
        <v>361</v>
      </c>
      <c r="B301" s="10" t="s">
        <v>35</v>
      </c>
      <c r="C301" s="10" t="s">
        <v>15</v>
      </c>
      <c r="D301" s="10">
        <v>3372.62</v>
      </c>
      <c r="E301" s="10">
        <v>0.03</v>
      </c>
      <c r="F301" s="10">
        <v>4</v>
      </c>
      <c r="G301" s="12">
        <v>45298</v>
      </c>
      <c r="H301" s="12">
        <v>45304</v>
      </c>
      <c r="I301" s="10" t="s">
        <v>16</v>
      </c>
      <c r="J301" s="10" t="s">
        <v>17</v>
      </c>
      <c r="K301" s="10">
        <v>196.2</v>
      </c>
      <c r="L301" s="13" t="s">
        <v>25</v>
      </c>
    </row>
    <row r="302" spans="1:12">
      <c r="A302" s="4" t="s">
        <v>362</v>
      </c>
      <c r="B302" s="5" t="s">
        <v>14</v>
      </c>
      <c r="C302" s="5" t="s">
        <v>15</v>
      </c>
      <c r="D302" s="5">
        <v>2409.1799999999998</v>
      </c>
      <c r="E302" s="5">
        <v>0.36</v>
      </c>
      <c r="F302" s="5">
        <v>5</v>
      </c>
      <c r="G302" s="7">
        <v>45338</v>
      </c>
      <c r="H302" s="7">
        <v>45340</v>
      </c>
      <c r="I302" s="5" t="s">
        <v>42</v>
      </c>
      <c r="J302" s="5" t="s">
        <v>29</v>
      </c>
      <c r="K302" s="5">
        <v>424.14</v>
      </c>
      <c r="L302" s="8" t="s">
        <v>30</v>
      </c>
    </row>
    <row r="303" spans="1:12">
      <c r="A303" s="9" t="s">
        <v>363</v>
      </c>
      <c r="B303" s="10" t="s">
        <v>20</v>
      </c>
      <c r="C303" s="10" t="s">
        <v>47</v>
      </c>
      <c r="D303" s="10">
        <v>108.97</v>
      </c>
      <c r="E303" s="10">
        <v>0.28000000000000003</v>
      </c>
      <c r="F303" s="10">
        <v>6</v>
      </c>
      <c r="G303" s="12">
        <v>45487</v>
      </c>
      <c r="H303" s="12">
        <v>45492</v>
      </c>
      <c r="I303" s="10" t="s">
        <v>16</v>
      </c>
      <c r="J303" s="10" t="s">
        <v>17</v>
      </c>
      <c r="K303" s="10">
        <v>29.94</v>
      </c>
      <c r="L303" s="13" t="s">
        <v>84</v>
      </c>
    </row>
    <row r="304" spans="1:12">
      <c r="A304" s="4" t="s">
        <v>364</v>
      </c>
      <c r="B304" s="5" t="s">
        <v>27</v>
      </c>
      <c r="C304" s="5" t="s">
        <v>47</v>
      </c>
      <c r="D304" s="5">
        <v>1768.7</v>
      </c>
      <c r="E304" s="5">
        <v>0.12</v>
      </c>
      <c r="F304" s="5">
        <v>7</v>
      </c>
      <c r="G304" s="7">
        <v>45528</v>
      </c>
      <c r="H304" s="7">
        <v>45535</v>
      </c>
      <c r="I304" s="5" t="s">
        <v>42</v>
      </c>
      <c r="J304" s="5" t="s">
        <v>29</v>
      </c>
      <c r="K304" s="5">
        <v>125.52</v>
      </c>
      <c r="L304" s="8" t="s">
        <v>63</v>
      </c>
    </row>
    <row r="305" spans="1:12">
      <c r="A305" s="9" t="s">
        <v>365</v>
      </c>
      <c r="B305" s="10" t="s">
        <v>35</v>
      </c>
      <c r="C305" s="10" t="s">
        <v>47</v>
      </c>
      <c r="D305" s="10">
        <v>4084.64</v>
      </c>
      <c r="E305" s="10">
        <v>0.33</v>
      </c>
      <c r="F305" s="10">
        <v>5</v>
      </c>
      <c r="G305" s="12">
        <v>45154</v>
      </c>
      <c r="H305" s="12">
        <v>45159</v>
      </c>
      <c r="I305" s="10" t="s">
        <v>42</v>
      </c>
      <c r="J305" s="10" t="s">
        <v>17</v>
      </c>
      <c r="K305" s="10">
        <v>800.8</v>
      </c>
      <c r="L305" s="13" t="s">
        <v>74</v>
      </c>
    </row>
    <row r="306" spans="1:12">
      <c r="A306" s="4" t="s">
        <v>366</v>
      </c>
      <c r="B306" s="5" t="s">
        <v>14</v>
      </c>
      <c r="C306" s="5" t="s">
        <v>47</v>
      </c>
      <c r="D306" s="5">
        <v>2002.04</v>
      </c>
      <c r="E306" s="5">
        <v>7.0000000000000007E-2</v>
      </c>
      <c r="F306" s="5">
        <v>7</v>
      </c>
      <c r="G306" s="7">
        <v>44958</v>
      </c>
      <c r="H306" s="7">
        <v>44959</v>
      </c>
      <c r="I306" s="5" t="s">
        <v>22</v>
      </c>
      <c r="J306" s="5" t="s">
        <v>23</v>
      </c>
      <c r="K306" s="5">
        <v>117.22</v>
      </c>
      <c r="L306" s="8" t="s">
        <v>24</v>
      </c>
    </row>
    <row r="307" spans="1:12">
      <c r="A307" s="9" t="s">
        <v>367</v>
      </c>
      <c r="B307" s="10" t="s">
        <v>20</v>
      </c>
      <c r="C307" s="10" t="s">
        <v>52</v>
      </c>
      <c r="D307" s="10">
        <v>2862.71</v>
      </c>
      <c r="E307" s="10">
        <v>0.17</v>
      </c>
      <c r="F307" s="10">
        <v>2</v>
      </c>
      <c r="G307" s="12">
        <v>45617</v>
      </c>
      <c r="H307" s="12">
        <v>45623</v>
      </c>
      <c r="I307" s="10" t="s">
        <v>42</v>
      </c>
      <c r="J307" s="10" t="s">
        <v>29</v>
      </c>
      <c r="K307" s="10">
        <v>491.84</v>
      </c>
      <c r="L307" s="13" t="s">
        <v>37</v>
      </c>
    </row>
    <row r="308" spans="1:12">
      <c r="A308" s="4" t="s">
        <v>368</v>
      </c>
      <c r="B308" s="5" t="s">
        <v>27</v>
      </c>
      <c r="C308" s="5" t="s">
        <v>21</v>
      </c>
      <c r="D308" s="5">
        <v>1103.23</v>
      </c>
      <c r="E308" s="5">
        <v>0.2</v>
      </c>
      <c r="F308" s="5">
        <v>7</v>
      </c>
      <c r="G308" s="7">
        <v>45272</v>
      </c>
      <c r="H308" s="7">
        <v>45273</v>
      </c>
      <c r="I308" s="5" t="s">
        <v>42</v>
      </c>
      <c r="J308" s="5" t="s">
        <v>29</v>
      </c>
      <c r="K308" s="5">
        <v>245.99</v>
      </c>
      <c r="L308" s="8" t="s">
        <v>54</v>
      </c>
    </row>
    <row r="309" spans="1:12">
      <c r="A309" s="9" t="s">
        <v>369</v>
      </c>
      <c r="B309" s="10" t="s">
        <v>35</v>
      </c>
      <c r="C309" s="10" t="s">
        <v>52</v>
      </c>
      <c r="D309" s="10">
        <v>4587.7</v>
      </c>
      <c r="E309" s="10">
        <v>0.39</v>
      </c>
      <c r="F309" s="10">
        <v>5</v>
      </c>
      <c r="G309" s="12">
        <v>45123</v>
      </c>
      <c r="H309" s="12">
        <v>45130</v>
      </c>
      <c r="I309" s="10" t="s">
        <v>16</v>
      </c>
      <c r="J309" s="10" t="s">
        <v>23</v>
      </c>
      <c r="K309" s="10">
        <v>665.8</v>
      </c>
      <c r="L309" s="13" t="s">
        <v>113</v>
      </c>
    </row>
    <row r="310" spans="1:12">
      <c r="A310" s="4" t="s">
        <v>370</v>
      </c>
      <c r="B310" s="5" t="s">
        <v>14</v>
      </c>
      <c r="C310" s="5" t="s">
        <v>15</v>
      </c>
      <c r="D310" s="5">
        <v>4623.54</v>
      </c>
      <c r="E310" s="5">
        <v>0.15</v>
      </c>
      <c r="F310" s="5">
        <v>5</v>
      </c>
      <c r="G310" s="7">
        <v>45220</v>
      </c>
      <c r="H310" s="7">
        <v>45221</v>
      </c>
      <c r="I310" s="5" t="s">
        <v>22</v>
      </c>
      <c r="J310" s="5" t="s">
        <v>29</v>
      </c>
      <c r="K310" s="5">
        <v>362.88</v>
      </c>
      <c r="L310" s="8" t="s">
        <v>63</v>
      </c>
    </row>
    <row r="311" spans="1:12">
      <c r="A311" s="9" t="s">
        <v>371</v>
      </c>
      <c r="B311" s="10" t="s">
        <v>20</v>
      </c>
      <c r="C311" s="10" t="s">
        <v>52</v>
      </c>
      <c r="D311" s="10">
        <v>815.74</v>
      </c>
      <c r="E311" s="10">
        <v>0.02</v>
      </c>
      <c r="F311" s="10">
        <v>6</v>
      </c>
      <c r="G311" s="12">
        <v>45515</v>
      </c>
      <c r="H311" s="12">
        <v>45517</v>
      </c>
      <c r="I311" s="10" t="s">
        <v>42</v>
      </c>
      <c r="J311" s="10" t="s">
        <v>17</v>
      </c>
      <c r="K311" s="10">
        <v>234</v>
      </c>
      <c r="L311" s="13" t="s">
        <v>36</v>
      </c>
    </row>
    <row r="312" spans="1:12">
      <c r="A312" s="4" t="s">
        <v>372</v>
      </c>
      <c r="B312" s="5" t="s">
        <v>27</v>
      </c>
      <c r="C312" s="5" t="s">
        <v>28</v>
      </c>
      <c r="D312" s="5">
        <v>3648.38</v>
      </c>
      <c r="E312" s="5">
        <v>0.09</v>
      </c>
      <c r="F312" s="5">
        <v>9</v>
      </c>
      <c r="G312" s="7">
        <v>45048</v>
      </c>
      <c r="H312" s="7">
        <v>45051</v>
      </c>
      <c r="I312" s="5" t="s">
        <v>22</v>
      </c>
      <c r="J312" s="5" t="s">
        <v>23</v>
      </c>
      <c r="K312" s="5">
        <v>1033.49</v>
      </c>
      <c r="L312" s="8" t="s">
        <v>118</v>
      </c>
    </row>
    <row r="313" spans="1:12">
      <c r="A313" s="9" t="s">
        <v>373</v>
      </c>
      <c r="B313" s="10" t="s">
        <v>35</v>
      </c>
      <c r="C313" s="10" t="s">
        <v>47</v>
      </c>
      <c r="D313" s="10">
        <v>468.67</v>
      </c>
      <c r="E313" s="10">
        <v>0.3</v>
      </c>
      <c r="F313" s="10">
        <v>4</v>
      </c>
      <c r="G313" s="12">
        <v>45562</v>
      </c>
      <c r="H313" s="12">
        <v>45564</v>
      </c>
      <c r="I313" s="10" t="s">
        <v>22</v>
      </c>
      <c r="J313" s="10" t="s">
        <v>17</v>
      </c>
      <c r="K313" s="10">
        <v>116.61</v>
      </c>
      <c r="L313" s="13" t="s">
        <v>74</v>
      </c>
    </row>
    <row r="314" spans="1:12">
      <c r="A314" s="4" t="s">
        <v>374</v>
      </c>
      <c r="B314" s="5" t="s">
        <v>14</v>
      </c>
      <c r="C314" s="5" t="s">
        <v>28</v>
      </c>
      <c r="D314" s="5">
        <v>3032.88</v>
      </c>
      <c r="E314" s="5">
        <v>0.01</v>
      </c>
      <c r="F314" s="5">
        <v>5</v>
      </c>
      <c r="G314" s="7">
        <v>45301</v>
      </c>
      <c r="H314" s="7">
        <v>45308</v>
      </c>
      <c r="I314" s="5" t="s">
        <v>42</v>
      </c>
      <c r="J314" s="5" t="s">
        <v>23</v>
      </c>
      <c r="K314" s="5">
        <v>309.11</v>
      </c>
      <c r="L314" s="8" t="s">
        <v>82</v>
      </c>
    </row>
    <row r="315" spans="1:12">
      <c r="A315" s="9" t="s">
        <v>375</v>
      </c>
      <c r="B315" s="10" t="s">
        <v>20</v>
      </c>
      <c r="C315" s="10" t="s">
        <v>28</v>
      </c>
      <c r="D315" s="10">
        <v>975.4</v>
      </c>
      <c r="E315" s="10">
        <v>0.4</v>
      </c>
      <c r="F315" s="10">
        <v>5</v>
      </c>
      <c r="G315" s="12">
        <v>45483</v>
      </c>
      <c r="H315" s="12">
        <v>45486</v>
      </c>
      <c r="I315" s="10" t="s">
        <v>42</v>
      </c>
      <c r="J315" s="10" t="s">
        <v>17</v>
      </c>
      <c r="K315" s="10">
        <v>237.24</v>
      </c>
      <c r="L315" s="13" t="s">
        <v>77</v>
      </c>
    </row>
    <row r="316" spans="1:12">
      <c r="A316" s="4" t="s">
        <v>376</v>
      </c>
      <c r="B316" s="5" t="s">
        <v>27</v>
      </c>
      <c r="C316" s="5" t="s">
        <v>15</v>
      </c>
      <c r="D316" s="5">
        <v>813.96</v>
      </c>
      <c r="E316" s="5">
        <v>0.45</v>
      </c>
      <c r="F316" s="5">
        <v>3</v>
      </c>
      <c r="G316" s="7">
        <v>44942</v>
      </c>
      <c r="H316" s="7">
        <v>44944</v>
      </c>
      <c r="I316" s="5" t="s">
        <v>42</v>
      </c>
      <c r="J316" s="5" t="s">
        <v>29</v>
      </c>
      <c r="K316" s="5">
        <v>108.85</v>
      </c>
      <c r="L316" s="8" t="s">
        <v>77</v>
      </c>
    </row>
    <row r="317" spans="1:12">
      <c r="A317" s="9" t="s">
        <v>377</v>
      </c>
      <c r="B317" s="10" t="s">
        <v>35</v>
      </c>
      <c r="C317" s="10" t="s">
        <v>47</v>
      </c>
      <c r="D317" s="10">
        <v>120.19</v>
      </c>
      <c r="E317" s="10">
        <v>0.25</v>
      </c>
      <c r="F317" s="10">
        <v>3</v>
      </c>
      <c r="G317" s="12">
        <v>45364</v>
      </c>
      <c r="H317" s="12">
        <v>45370</v>
      </c>
      <c r="I317" s="10" t="s">
        <v>42</v>
      </c>
      <c r="J317" s="10" t="s">
        <v>17</v>
      </c>
      <c r="K317" s="10">
        <v>24.31</v>
      </c>
      <c r="L317" s="13" t="s">
        <v>113</v>
      </c>
    </row>
    <row r="318" spans="1:12">
      <c r="A318" s="4" t="s">
        <v>378</v>
      </c>
      <c r="B318" s="5" t="s">
        <v>14</v>
      </c>
      <c r="C318" s="5" t="s">
        <v>28</v>
      </c>
      <c r="D318" s="5">
        <v>4710.2</v>
      </c>
      <c r="E318" s="5">
        <v>0.35</v>
      </c>
      <c r="F318" s="5">
        <v>1</v>
      </c>
      <c r="G318" s="7">
        <v>45275</v>
      </c>
      <c r="H318" s="7">
        <v>45280</v>
      </c>
      <c r="I318" s="5" t="s">
        <v>42</v>
      </c>
      <c r="J318" s="5" t="s">
        <v>29</v>
      </c>
      <c r="K318" s="5">
        <v>762.19</v>
      </c>
      <c r="L318" s="8" t="s">
        <v>25</v>
      </c>
    </row>
    <row r="319" spans="1:12">
      <c r="A319" s="9" t="s">
        <v>379</v>
      </c>
      <c r="B319" s="10" t="s">
        <v>20</v>
      </c>
      <c r="C319" s="10" t="s">
        <v>15</v>
      </c>
      <c r="D319" s="10">
        <v>4163.34</v>
      </c>
      <c r="E319" s="10">
        <v>0.23</v>
      </c>
      <c r="F319" s="10">
        <v>4</v>
      </c>
      <c r="G319" s="12">
        <v>45136</v>
      </c>
      <c r="H319" s="12">
        <v>45141</v>
      </c>
      <c r="I319" s="10" t="s">
        <v>22</v>
      </c>
      <c r="J319" s="10" t="s">
        <v>23</v>
      </c>
      <c r="K319" s="10">
        <v>468.81</v>
      </c>
      <c r="L319" s="13" t="s">
        <v>84</v>
      </c>
    </row>
    <row r="320" spans="1:12">
      <c r="A320" s="4" t="s">
        <v>380</v>
      </c>
      <c r="B320" s="5" t="s">
        <v>27</v>
      </c>
      <c r="C320" s="5" t="s">
        <v>47</v>
      </c>
      <c r="D320" s="5">
        <v>479.63</v>
      </c>
      <c r="E320" s="5">
        <v>0.15</v>
      </c>
      <c r="F320" s="5">
        <v>9</v>
      </c>
      <c r="G320" s="7">
        <v>45086</v>
      </c>
      <c r="H320" s="7">
        <v>45089</v>
      </c>
      <c r="I320" s="5" t="s">
        <v>16</v>
      </c>
      <c r="J320" s="5" t="s">
        <v>17</v>
      </c>
      <c r="K320" s="5">
        <v>102.29</v>
      </c>
      <c r="L320" s="8" t="s">
        <v>77</v>
      </c>
    </row>
    <row r="321" spans="1:12">
      <c r="A321" s="9" t="s">
        <v>381</v>
      </c>
      <c r="B321" s="10" t="s">
        <v>35</v>
      </c>
      <c r="C321" s="10" t="s">
        <v>21</v>
      </c>
      <c r="D321" s="10">
        <v>3036.94</v>
      </c>
      <c r="E321" s="10">
        <v>0.08</v>
      </c>
      <c r="F321" s="10">
        <v>2</v>
      </c>
      <c r="G321" s="12">
        <v>45211</v>
      </c>
      <c r="H321" s="12">
        <v>45214</v>
      </c>
      <c r="I321" s="10" t="s">
        <v>22</v>
      </c>
      <c r="J321" s="10" t="s">
        <v>17</v>
      </c>
      <c r="K321" s="10">
        <v>697.79</v>
      </c>
      <c r="L321" s="13" t="s">
        <v>56</v>
      </c>
    </row>
    <row r="322" spans="1:12">
      <c r="A322" s="4" t="s">
        <v>382</v>
      </c>
      <c r="B322" s="5" t="s">
        <v>14</v>
      </c>
      <c r="C322" s="5" t="s">
        <v>15</v>
      </c>
      <c r="D322" s="5">
        <v>1241.2</v>
      </c>
      <c r="E322" s="5">
        <v>0.26</v>
      </c>
      <c r="F322" s="5">
        <v>4</v>
      </c>
      <c r="G322" s="7">
        <v>44978</v>
      </c>
      <c r="H322" s="7">
        <v>44981</v>
      </c>
      <c r="I322" s="5" t="s">
        <v>42</v>
      </c>
      <c r="J322" s="5" t="s">
        <v>29</v>
      </c>
      <c r="K322" s="5">
        <v>226</v>
      </c>
      <c r="L322" s="8" t="s">
        <v>77</v>
      </c>
    </row>
    <row r="323" spans="1:12">
      <c r="A323" s="9" t="s">
        <v>383</v>
      </c>
      <c r="B323" s="10" t="s">
        <v>20</v>
      </c>
      <c r="C323" s="10" t="s">
        <v>52</v>
      </c>
      <c r="D323" s="10">
        <v>1393.68</v>
      </c>
      <c r="E323" s="10">
        <v>0.46</v>
      </c>
      <c r="F323" s="10">
        <v>9</v>
      </c>
      <c r="G323" s="12">
        <v>45007</v>
      </c>
      <c r="H323" s="12">
        <v>45014</v>
      </c>
      <c r="I323" s="10" t="s">
        <v>22</v>
      </c>
      <c r="J323" s="10" t="s">
        <v>23</v>
      </c>
      <c r="K323" s="10">
        <v>126.14</v>
      </c>
      <c r="L323" s="13" t="s">
        <v>118</v>
      </c>
    </row>
    <row r="324" spans="1:12">
      <c r="A324" s="4" t="s">
        <v>384</v>
      </c>
      <c r="B324" s="5" t="s">
        <v>27</v>
      </c>
      <c r="C324" s="5" t="s">
        <v>47</v>
      </c>
      <c r="D324" s="5">
        <v>4383.43</v>
      </c>
      <c r="E324" s="5">
        <v>0.44</v>
      </c>
      <c r="F324" s="5">
        <v>9</v>
      </c>
      <c r="G324" s="7">
        <v>45307</v>
      </c>
      <c r="H324" s="7">
        <v>45311</v>
      </c>
      <c r="I324" s="5" t="s">
        <v>16</v>
      </c>
      <c r="J324" s="5" t="s">
        <v>29</v>
      </c>
      <c r="K324" s="5">
        <v>761.11</v>
      </c>
      <c r="L324" s="8" t="s">
        <v>56</v>
      </c>
    </row>
    <row r="325" spans="1:12">
      <c r="A325" s="9" t="s">
        <v>385</v>
      </c>
      <c r="B325" s="10" t="s">
        <v>35</v>
      </c>
      <c r="C325" s="10" t="s">
        <v>28</v>
      </c>
      <c r="D325" s="10">
        <v>660.2</v>
      </c>
      <c r="E325" s="10">
        <v>0.46</v>
      </c>
      <c r="F325" s="10">
        <v>8</v>
      </c>
      <c r="G325" s="12">
        <v>45278</v>
      </c>
      <c r="H325" s="12">
        <v>45279</v>
      </c>
      <c r="I325" s="10" t="s">
        <v>22</v>
      </c>
      <c r="J325" s="10" t="s">
        <v>23</v>
      </c>
      <c r="K325" s="10">
        <v>159.93</v>
      </c>
      <c r="L325" s="13" t="s">
        <v>24</v>
      </c>
    </row>
    <row r="326" spans="1:12">
      <c r="A326" s="4" t="s">
        <v>386</v>
      </c>
      <c r="B326" s="5" t="s">
        <v>14</v>
      </c>
      <c r="C326" s="5" t="s">
        <v>28</v>
      </c>
      <c r="D326" s="5">
        <v>3047.3</v>
      </c>
      <c r="E326" s="5">
        <v>0.48</v>
      </c>
      <c r="F326" s="5">
        <v>2</v>
      </c>
      <c r="G326" s="7">
        <v>45211</v>
      </c>
      <c r="H326" s="7">
        <v>45215</v>
      </c>
      <c r="I326" s="5" t="s">
        <v>42</v>
      </c>
      <c r="J326" s="5" t="s">
        <v>29</v>
      </c>
      <c r="K326" s="5">
        <v>797.25</v>
      </c>
      <c r="L326" s="8" t="s">
        <v>113</v>
      </c>
    </row>
    <row r="327" spans="1:12">
      <c r="A327" s="9" t="s">
        <v>387</v>
      </c>
      <c r="B327" s="10" t="s">
        <v>20</v>
      </c>
      <c r="C327" s="10" t="s">
        <v>52</v>
      </c>
      <c r="D327" s="10">
        <v>2066.15</v>
      </c>
      <c r="E327" s="10">
        <v>0.08</v>
      </c>
      <c r="F327" s="10">
        <v>3</v>
      </c>
      <c r="G327" s="12">
        <v>45416</v>
      </c>
      <c r="H327" s="12">
        <v>45420</v>
      </c>
      <c r="I327" s="10" t="s">
        <v>42</v>
      </c>
      <c r="J327" s="10" t="s">
        <v>29</v>
      </c>
      <c r="K327" s="10">
        <v>117.23</v>
      </c>
      <c r="L327" s="13" t="s">
        <v>74</v>
      </c>
    </row>
    <row r="328" spans="1:12">
      <c r="A328" s="4" t="s">
        <v>388</v>
      </c>
      <c r="B328" s="5" t="s">
        <v>27</v>
      </c>
      <c r="C328" s="5" t="s">
        <v>52</v>
      </c>
      <c r="D328" s="5">
        <v>1034.92</v>
      </c>
      <c r="E328" s="5">
        <v>7.0000000000000007E-2</v>
      </c>
      <c r="F328" s="5">
        <v>6</v>
      </c>
      <c r="G328" s="7">
        <v>45313</v>
      </c>
      <c r="H328" s="7">
        <v>45318</v>
      </c>
      <c r="I328" s="5" t="s">
        <v>42</v>
      </c>
      <c r="J328" s="5" t="s">
        <v>29</v>
      </c>
      <c r="K328" s="5">
        <v>100.03</v>
      </c>
      <c r="L328" s="8" t="s">
        <v>37</v>
      </c>
    </row>
    <row r="329" spans="1:12">
      <c r="A329" s="9" t="s">
        <v>389</v>
      </c>
      <c r="B329" s="10" t="s">
        <v>35</v>
      </c>
      <c r="C329" s="10" t="s">
        <v>28</v>
      </c>
      <c r="D329" s="10">
        <v>2314.4</v>
      </c>
      <c r="E329" s="10">
        <v>0.21</v>
      </c>
      <c r="F329" s="10">
        <v>2</v>
      </c>
      <c r="G329" s="12">
        <v>45361</v>
      </c>
      <c r="H329" s="12">
        <v>45367</v>
      </c>
      <c r="I329" s="10" t="s">
        <v>16</v>
      </c>
      <c r="J329" s="10" t="s">
        <v>17</v>
      </c>
      <c r="K329" s="10">
        <v>653.86</v>
      </c>
      <c r="L329" s="13" t="s">
        <v>59</v>
      </c>
    </row>
    <row r="330" spans="1:12">
      <c r="A330" s="4" t="s">
        <v>390</v>
      </c>
      <c r="B330" s="5" t="s">
        <v>14</v>
      </c>
      <c r="C330" s="5" t="s">
        <v>47</v>
      </c>
      <c r="D330" s="5">
        <v>4708.3999999999996</v>
      </c>
      <c r="E330" s="5">
        <v>0.34</v>
      </c>
      <c r="F330" s="5">
        <v>3</v>
      </c>
      <c r="G330" s="7">
        <v>45506</v>
      </c>
      <c r="H330" s="7">
        <v>45511</v>
      </c>
      <c r="I330" s="5" t="s">
        <v>42</v>
      </c>
      <c r="J330" s="5" t="s">
        <v>17</v>
      </c>
      <c r="K330" s="5">
        <v>1155.56</v>
      </c>
      <c r="L330" s="8" t="s">
        <v>77</v>
      </c>
    </row>
    <row r="331" spans="1:12">
      <c r="A331" s="9" t="s">
        <v>391</v>
      </c>
      <c r="B331" s="10" t="s">
        <v>20</v>
      </c>
      <c r="C331" s="10" t="s">
        <v>15</v>
      </c>
      <c r="D331" s="10">
        <v>3929.89</v>
      </c>
      <c r="E331" s="10">
        <v>0.22</v>
      </c>
      <c r="F331" s="10">
        <v>1</v>
      </c>
      <c r="G331" s="12">
        <v>44970</v>
      </c>
      <c r="H331" s="12">
        <v>44973</v>
      </c>
      <c r="I331" s="10" t="s">
        <v>42</v>
      </c>
      <c r="J331" s="10" t="s">
        <v>29</v>
      </c>
      <c r="K331" s="10">
        <v>902.41</v>
      </c>
      <c r="L331" s="13" t="s">
        <v>25</v>
      </c>
    </row>
    <row r="332" spans="1:12">
      <c r="A332" s="4" t="s">
        <v>392</v>
      </c>
      <c r="B332" s="5" t="s">
        <v>27</v>
      </c>
      <c r="C332" s="5" t="s">
        <v>52</v>
      </c>
      <c r="D332" s="5">
        <v>747.35</v>
      </c>
      <c r="E332" s="5">
        <v>0.45</v>
      </c>
      <c r="F332" s="5">
        <v>4</v>
      </c>
      <c r="G332" s="7">
        <v>45433</v>
      </c>
      <c r="H332" s="7">
        <v>45438</v>
      </c>
      <c r="I332" s="5" t="s">
        <v>42</v>
      </c>
      <c r="J332" s="5" t="s">
        <v>23</v>
      </c>
      <c r="K332" s="5">
        <v>63.14</v>
      </c>
      <c r="L332" s="8" t="s">
        <v>74</v>
      </c>
    </row>
    <row r="333" spans="1:12">
      <c r="A333" s="9" t="s">
        <v>393</v>
      </c>
      <c r="B333" s="10" t="s">
        <v>35</v>
      </c>
      <c r="C333" s="10" t="s">
        <v>52</v>
      </c>
      <c r="D333" s="10">
        <v>4262.21</v>
      </c>
      <c r="E333" s="10">
        <v>0.36</v>
      </c>
      <c r="F333" s="10">
        <v>6</v>
      </c>
      <c r="G333" s="12">
        <v>45588</v>
      </c>
      <c r="H333" s="12">
        <v>45591</v>
      </c>
      <c r="I333" s="10" t="s">
        <v>42</v>
      </c>
      <c r="J333" s="10" t="s">
        <v>17</v>
      </c>
      <c r="K333" s="10">
        <v>217.76</v>
      </c>
      <c r="L333" s="13" t="s">
        <v>18</v>
      </c>
    </row>
    <row r="334" spans="1:12">
      <c r="A334" s="4" t="s">
        <v>394</v>
      </c>
      <c r="B334" s="5" t="s">
        <v>14</v>
      </c>
      <c r="C334" s="5" t="s">
        <v>52</v>
      </c>
      <c r="D334" s="5">
        <v>4693.46</v>
      </c>
      <c r="E334" s="5">
        <v>0.32</v>
      </c>
      <c r="F334" s="5">
        <v>1</v>
      </c>
      <c r="G334" s="7">
        <v>45096</v>
      </c>
      <c r="H334" s="7">
        <v>45102</v>
      </c>
      <c r="I334" s="5" t="s">
        <v>22</v>
      </c>
      <c r="J334" s="5" t="s">
        <v>29</v>
      </c>
      <c r="K334" s="5">
        <v>925.54</v>
      </c>
      <c r="L334" s="8" t="s">
        <v>59</v>
      </c>
    </row>
    <row r="335" spans="1:12">
      <c r="A335" s="9" t="s">
        <v>395</v>
      </c>
      <c r="B335" s="10" t="s">
        <v>20</v>
      </c>
      <c r="C335" s="10" t="s">
        <v>21</v>
      </c>
      <c r="D335" s="10">
        <v>1457.12</v>
      </c>
      <c r="E335" s="10">
        <v>0.04</v>
      </c>
      <c r="F335" s="10">
        <v>1</v>
      </c>
      <c r="G335" s="12">
        <v>45001</v>
      </c>
      <c r="H335" s="12">
        <v>45007</v>
      </c>
      <c r="I335" s="10" t="s">
        <v>42</v>
      </c>
      <c r="J335" s="10" t="s">
        <v>23</v>
      </c>
      <c r="K335" s="10">
        <v>388.34</v>
      </c>
      <c r="L335" s="13" t="s">
        <v>74</v>
      </c>
    </row>
    <row r="336" spans="1:12">
      <c r="A336" s="4" t="s">
        <v>396</v>
      </c>
      <c r="B336" s="5" t="s">
        <v>27</v>
      </c>
      <c r="C336" s="5" t="s">
        <v>47</v>
      </c>
      <c r="D336" s="5">
        <v>1733.76</v>
      </c>
      <c r="E336" s="5">
        <v>0.09</v>
      </c>
      <c r="F336" s="5">
        <v>8</v>
      </c>
      <c r="G336" s="7">
        <v>44934</v>
      </c>
      <c r="H336" s="7">
        <v>44938</v>
      </c>
      <c r="I336" s="5" t="s">
        <v>22</v>
      </c>
      <c r="J336" s="5" t="s">
        <v>23</v>
      </c>
      <c r="K336" s="5">
        <v>117.57</v>
      </c>
      <c r="L336" s="8" t="s">
        <v>118</v>
      </c>
    </row>
    <row r="337" spans="1:12">
      <c r="A337" s="9" t="s">
        <v>397</v>
      </c>
      <c r="B337" s="10" t="s">
        <v>35</v>
      </c>
      <c r="C337" s="10" t="s">
        <v>47</v>
      </c>
      <c r="D337" s="10">
        <v>718.92</v>
      </c>
      <c r="E337" s="10">
        <v>0.21</v>
      </c>
      <c r="F337" s="10">
        <v>7</v>
      </c>
      <c r="G337" s="12">
        <v>45401</v>
      </c>
      <c r="H337" s="12">
        <v>45402</v>
      </c>
      <c r="I337" s="10" t="s">
        <v>16</v>
      </c>
      <c r="J337" s="10" t="s">
        <v>23</v>
      </c>
      <c r="K337" s="10">
        <v>48.42</v>
      </c>
      <c r="L337" s="13" t="s">
        <v>118</v>
      </c>
    </row>
    <row r="338" spans="1:12">
      <c r="A338" s="4" t="s">
        <v>398</v>
      </c>
      <c r="B338" s="5" t="s">
        <v>14</v>
      </c>
      <c r="C338" s="5" t="s">
        <v>47</v>
      </c>
      <c r="D338" s="5">
        <v>1790.21</v>
      </c>
      <c r="E338" s="5">
        <v>0.49</v>
      </c>
      <c r="F338" s="5">
        <v>7</v>
      </c>
      <c r="G338" s="7">
        <v>45098</v>
      </c>
      <c r="H338" s="7">
        <v>45103</v>
      </c>
      <c r="I338" s="5" t="s">
        <v>22</v>
      </c>
      <c r="J338" s="5" t="s">
        <v>29</v>
      </c>
      <c r="K338" s="5">
        <v>536.41999999999996</v>
      </c>
      <c r="L338" s="8" t="s">
        <v>18</v>
      </c>
    </row>
    <row r="339" spans="1:12">
      <c r="A339" s="9" t="s">
        <v>399</v>
      </c>
      <c r="B339" s="10" t="s">
        <v>20</v>
      </c>
      <c r="C339" s="10" t="s">
        <v>47</v>
      </c>
      <c r="D339" s="10">
        <v>3398.39</v>
      </c>
      <c r="E339" s="10">
        <v>0.17</v>
      </c>
      <c r="F339" s="10">
        <v>7</v>
      </c>
      <c r="G339" s="12">
        <v>45363</v>
      </c>
      <c r="H339" s="12">
        <v>45367</v>
      </c>
      <c r="I339" s="10" t="s">
        <v>22</v>
      </c>
      <c r="J339" s="10" t="s">
        <v>17</v>
      </c>
      <c r="K339" s="10">
        <v>370.75</v>
      </c>
      <c r="L339" s="13" t="s">
        <v>82</v>
      </c>
    </row>
    <row r="340" spans="1:12">
      <c r="A340" s="4" t="s">
        <v>400</v>
      </c>
      <c r="B340" s="5" t="s">
        <v>27</v>
      </c>
      <c r="C340" s="5" t="s">
        <v>47</v>
      </c>
      <c r="D340" s="5">
        <v>1433.56</v>
      </c>
      <c r="E340" s="5">
        <v>0.31</v>
      </c>
      <c r="F340" s="5">
        <v>5</v>
      </c>
      <c r="G340" s="7">
        <v>45563</v>
      </c>
      <c r="H340" s="7">
        <v>45569</v>
      </c>
      <c r="I340" s="5" t="s">
        <v>22</v>
      </c>
      <c r="J340" s="5" t="s">
        <v>23</v>
      </c>
      <c r="K340" s="5">
        <v>310.11</v>
      </c>
      <c r="L340" s="8" t="s">
        <v>63</v>
      </c>
    </row>
    <row r="341" spans="1:12">
      <c r="A341" s="9" t="s">
        <v>401</v>
      </c>
      <c r="B341" s="10" t="s">
        <v>35</v>
      </c>
      <c r="C341" s="10" t="s">
        <v>28</v>
      </c>
      <c r="D341" s="10">
        <v>133.44</v>
      </c>
      <c r="E341" s="10">
        <v>0.49</v>
      </c>
      <c r="F341" s="10">
        <v>4</v>
      </c>
      <c r="G341" s="12">
        <v>45652</v>
      </c>
      <c r="H341" s="12">
        <v>45655</v>
      </c>
      <c r="I341" s="10" t="s">
        <v>22</v>
      </c>
      <c r="J341" s="10" t="s">
        <v>29</v>
      </c>
      <c r="K341" s="10">
        <v>25.28</v>
      </c>
      <c r="L341" s="13" t="s">
        <v>74</v>
      </c>
    </row>
    <row r="342" spans="1:12">
      <c r="A342" s="4" t="s">
        <v>402</v>
      </c>
      <c r="B342" s="5" t="s">
        <v>14</v>
      </c>
      <c r="C342" s="5" t="s">
        <v>52</v>
      </c>
      <c r="D342" s="5">
        <v>1758.87</v>
      </c>
      <c r="E342" s="5">
        <v>0.13</v>
      </c>
      <c r="F342" s="5">
        <v>7</v>
      </c>
      <c r="G342" s="7">
        <v>45377</v>
      </c>
      <c r="H342" s="7">
        <v>45382</v>
      </c>
      <c r="I342" s="5" t="s">
        <v>22</v>
      </c>
      <c r="J342" s="5" t="s">
        <v>29</v>
      </c>
      <c r="K342" s="5">
        <v>270.22000000000003</v>
      </c>
      <c r="L342" s="8" t="s">
        <v>36</v>
      </c>
    </row>
    <row r="343" spans="1:12">
      <c r="A343" s="9" t="s">
        <v>403</v>
      </c>
      <c r="B343" s="10" t="s">
        <v>20</v>
      </c>
      <c r="C343" s="10" t="s">
        <v>28</v>
      </c>
      <c r="D343" s="10">
        <v>2320.5500000000002</v>
      </c>
      <c r="E343" s="10">
        <v>0.08</v>
      </c>
      <c r="F343" s="10">
        <v>3</v>
      </c>
      <c r="G343" s="12">
        <v>45577</v>
      </c>
      <c r="H343" s="12">
        <v>45583</v>
      </c>
      <c r="I343" s="10" t="s">
        <v>22</v>
      </c>
      <c r="J343" s="10" t="s">
        <v>29</v>
      </c>
      <c r="K343" s="10">
        <v>581.83000000000004</v>
      </c>
      <c r="L343" s="13" t="s">
        <v>74</v>
      </c>
    </row>
    <row r="344" spans="1:12">
      <c r="A344" s="4" t="s">
        <v>404</v>
      </c>
      <c r="B344" s="5" t="s">
        <v>27</v>
      </c>
      <c r="C344" s="5" t="s">
        <v>21</v>
      </c>
      <c r="D344" s="5">
        <v>2875.14</v>
      </c>
      <c r="E344" s="5">
        <v>0.27</v>
      </c>
      <c r="F344" s="5">
        <v>9</v>
      </c>
      <c r="G344" s="7">
        <v>45593</v>
      </c>
      <c r="H344" s="7">
        <v>45600</v>
      </c>
      <c r="I344" s="5" t="s">
        <v>16</v>
      </c>
      <c r="J344" s="5" t="s">
        <v>29</v>
      </c>
      <c r="K344" s="5">
        <v>314.73</v>
      </c>
      <c r="L344" s="8" t="s">
        <v>36</v>
      </c>
    </row>
    <row r="345" spans="1:12">
      <c r="A345" s="9" t="s">
        <v>405</v>
      </c>
      <c r="B345" s="10" t="s">
        <v>35</v>
      </c>
      <c r="C345" s="10" t="s">
        <v>15</v>
      </c>
      <c r="D345" s="10">
        <v>3450.74</v>
      </c>
      <c r="E345" s="10">
        <v>0.28000000000000003</v>
      </c>
      <c r="F345" s="10">
        <v>2</v>
      </c>
      <c r="G345" s="12">
        <v>45573</v>
      </c>
      <c r="H345" s="12">
        <v>45574</v>
      </c>
      <c r="I345" s="10" t="s">
        <v>42</v>
      </c>
      <c r="J345" s="10" t="s">
        <v>29</v>
      </c>
      <c r="K345" s="10">
        <v>413.97</v>
      </c>
      <c r="L345" s="13" t="s">
        <v>70</v>
      </c>
    </row>
    <row r="346" spans="1:12">
      <c r="A346" s="4" t="s">
        <v>406</v>
      </c>
      <c r="B346" s="5" t="s">
        <v>14</v>
      </c>
      <c r="C346" s="5" t="s">
        <v>52</v>
      </c>
      <c r="D346" s="5">
        <v>402.74</v>
      </c>
      <c r="E346" s="5">
        <v>0.46</v>
      </c>
      <c r="F346" s="5">
        <v>1</v>
      </c>
      <c r="G346" s="7">
        <v>45421</v>
      </c>
      <c r="H346" s="7">
        <v>45426</v>
      </c>
      <c r="I346" s="5" t="s">
        <v>16</v>
      </c>
      <c r="J346" s="5" t="s">
        <v>17</v>
      </c>
      <c r="K346" s="5">
        <v>46.96</v>
      </c>
      <c r="L346" s="8" t="s">
        <v>113</v>
      </c>
    </row>
    <row r="347" spans="1:12">
      <c r="A347" s="9" t="s">
        <v>407</v>
      </c>
      <c r="B347" s="10" t="s">
        <v>20</v>
      </c>
      <c r="C347" s="10" t="s">
        <v>21</v>
      </c>
      <c r="D347" s="10">
        <v>2401.7800000000002</v>
      </c>
      <c r="E347" s="10">
        <v>0.01</v>
      </c>
      <c r="F347" s="10">
        <v>8</v>
      </c>
      <c r="G347" s="12">
        <v>45385</v>
      </c>
      <c r="H347" s="12">
        <v>45388</v>
      </c>
      <c r="I347" s="10" t="s">
        <v>22</v>
      </c>
      <c r="J347" s="10" t="s">
        <v>17</v>
      </c>
      <c r="K347" s="10">
        <v>448.63</v>
      </c>
      <c r="L347" s="13" t="s">
        <v>77</v>
      </c>
    </row>
    <row r="348" spans="1:12">
      <c r="A348" s="4" t="s">
        <v>408</v>
      </c>
      <c r="B348" s="5" t="s">
        <v>27</v>
      </c>
      <c r="C348" s="5" t="s">
        <v>28</v>
      </c>
      <c r="D348" s="5">
        <v>1405.18</v>
      </c>
      <c r="E348" s="5">
        <v>0.2</v>
      </c>
      <c r="F348" s="5">
        <v>6</v>
      </c>
      <c r="G348" s="7">
        <v>45111</v>
      </c>
      <c r="H348" s="7">
        <v>45115</v>
      </c>
      <c r="I348" s="5" t="s">
        <v>22</v>
      </c>
      <c r="J348" s="5" t="s">
        <v>29</v>
      </c>
      <c r="K348" s="5">
        <v>300.73</v>
      </c>
      <c r="L348" s="8" t="s">
        <v>70</v>
      </c>
    </row>
    <row r="349" spans="1:12">
      <c r="A349" s="9" t="s">
        <v>409</v>
      </c>
      <c r="B349" s="10" t="s">
        <v>35</v>
      </c>
      <c r="C349" s="10" t="s">
        <v>15</v>
      </c>
      <c r="D349" s="10">
        <v>4745.05</v>
      </c>
      <c r="E349" s="10">
        <v>0.16</v>
      </c>
      <c r="F349" s="10">
        <v>4</v>
      </c>
      <c r="G349" s="12">
        <v>45655</v>
      </c>
      <c r="H349" s="12">
        <v>45661</v>
      </c>
      <c r="I349" s="10" t="s">
        <v>22</v>
      </c>
      <c r="J349" s="10" t="s">
        <v>17</v>
      </c>
      <c r="K349" s="10">
        <v>347.16</v>
      </c>
      <c r="L349" s="13" t="s">
        <v>59</v>
      </c>
    </row>
    <row r="350" spans="1:12">
      <c r="A350" s="4" t="s">
        <v>410</v>
      </c>
      <c r="B350" s="5" t="s">
        <v>14</v>
      </c>
      <c r="C350" s="5" t="s">
        <v>21</v>
      </c>
      <c r="D350" s="5">
        <v>1863.5</v>
      </c>
      <c r="E350" s="5">
        <v>0.28999999999999998</v>
      </c>
      <c r="F350" s="5">
        <v>9</v>
      </c>
      <c r="G350" s="7">
        <v>45093</v>
      </c>
      <c r="H350" s="7">
        <v>45100</v>
      </c>
      <c r="I350" s="5" t="s">
        <v>16</v>
      </c>
      <c r="J350" s="5" t="s">
        <v>29</v>
      </c>
      <c r="K350" s="5">
        <v>161.51</v>
      </c>
      <c r="L350" s="8" t="s">
        <v>18</v>
      </c>
    </row>
    <row r="351" spans="1:12">
      <c r="A351" s="9" t="s">
        <v>411</v>
      </c>
      <c r="B351" s="10" t="s">
        <v>20</v>
      </c>
      <c r="C351" s="10" t="s">
        <v>15</v>
      </c>
      <c r="D351" s="10">
        <v>590.61</v>
      </c>
      <c r="E351" s="10">
        <v>0</v>
      </c>
      <c r="F351" s="10">
        <v>5</v>
      </c>
      <c r="G351" s="12">
        <v>45233</v>
      </c>
      <c r="H351" s="12">
        <v>45240</v>
      </c>
      <c r="I351" s="10" t="s">
        <v>22</v>
      </c>
      <c r="J351" s="10" t="s">
        <v>23</v>
      </c>
      <c r="K351" s="10">
        <v>46.99</v>
      </c>
      <c r="L351" s="13" t="s">
        <v>82</v>
      </c>
    </row>
    <row r="352" spans="1:12">
      <c r="A352" s="4" t="s">
        <v>412</v>
      </c>
      <c r="B352" s="5" t="s">
        <v>27</v>
      </c>
      <c r="C352" s="5" t="s">
        <v>21</v>
      </c>
      <c r="D352" s="5">
        <v>303.31</v>
      </c>
      <c r="E352" s="5">
        <v>0.36</v>
      </c>
      <c r="F352" s="5">
        <v>1</v>
      </c>
      <c r="G352" s="7">
        <v>45203</v>
      </c>
      <c r="H352" s="7">
        <v>45207</v>
      </c>
      <c r="I352" s="5" t="s">
        <v>16</v>
      </c>
      <c r="J352" s="5" t="s">
        <v>17</v>
      </c>
      <c r="K352" s="5">
        <v>64.56</v>
      </c>
      <c r="L352" s="8" t="s">
        <v>30</v>
      </c>
    </row>
    <row r="353" spans="1:12">
      <c r="A353" s="9" t="s">
        <v>413</v>
      </c>
      <c r="B353" s="10" t="s">
        <v>35</v>
      </c>
      <c r="C353" s="10" t="s">
        <v>28</v>
      </c>
      <c r="D353" s="10">
        <v>1400.49</v>
      </c>
      <c r="E353" s="10">
        <v>0.24</v>
      </c>
      <c r="F353" s="10">
        <v>1</v>
      </c>
      <c r="G353" s="12">
        <v>45016</v>
      </c>
      <c r="H353" s="12">
        <v>45017</v>
      </c>
      <c r="I353" s="10" t="s">
        <v>22</v>
      </c>
      <c r="J353" s="10" t="s">
        <v>17</v>
      </c>
      <c r="K353" s="10">
        <v>289</v>
      </c>
      <c r="L353" s="13" t="s">
        <v>25</v>
      </c>
    </row>
    <row r="354" spans="1:12">
      <c r="A354" s="4" t="s">
        <v>414</v>
      </c>
      <c r="B354" s="5" t="s">
        <v>14</v>
      </c>
      <c r="C354" s="5" t="s">
        <v>15</v>
      </c>
      <c r="D354" s="5">
        <v>976.51</v>
      </c>
      <c r="E354" s="5">
        <v>0.35</v>
      </c>
      <c r="F354" s="5">
        <v>7</v>
      </c>
      <c r="G354" s="7">
        <v>45145</v>
      </c>
      <c r="H354" s="7">
        <v>45146</v>
      </c>
      <c r="I354" s="5" t="s">
        <v>22</v>
      </c>
      <c r="J354" s="5" t="s">
        <v>29</v>
      </c>
      <c r="K354" s="5">
        <v>251.49</v>
      </c>
      <c r="L354" s="8" t="s">
        <v>74</v>
      </c>
    </row>
    <row r="355" spans="1:12">
      <c r="A355" s="9" t="s">
        <v>415</v>
      </c>
      <c r="B355" s="10" t="s">
        <v>20</v>
      </c>
      <c r="C355" s="10" t="s">
        <v>21</v>
      </c>
      <c r="D355" s="10">
        <v>3284.02</v>
      </c>
      <c r="E355" s="10">
        <v>0.22</v>
      </c>
      <c r="F355" s="10">
        <v>1</v>
      </c>
      <c r="G355" s="12">
        <v>45367</v>
      </c>
      <c r="H355" s="12">
        <v>45371</v>
      </c>
      <c r="I355" s="10" t="s">
        <v>16</v>
      </c>
      <c r="J355" s="10" t="s">
        <v>29</v>
      </c>
      <c r="K355" s="10">
        <v>399.43</v>
      </c>
      <c r="L355" s="13" t="s">
        <v>118</v>
      </c>
    </row>
    <row r="356" spans="1:12">
      <c r="A356" s="4" t="s">
        <v>416</v>
      </c>
      <c r="B356" s="5" t="s">
        <v>27</v>
      </c>
      <c r="C356" s="5" t="s">
        <v>28</v>
      </c>
      <c r="D356" s="5">
        <v>4250.1400000000003</v>
      </c>
      <c r="E356" s="5">
        <v>0.24</v>
      </c>
      <c r="F356" s="5">
        <v>6</v>
      </c>
      <c r="G356" s="7">
        <v>45617</v>
      </c>
      <c r="H356" s="7">
        <v>45619</v>
      </c>
      <c r="I356" s="5" t="s">
        <v>16</v>
      </c>
      <c r="J356" s="5" t="s">
        <v>17</v>
      </c>
      <c r="K356" s="5">
        <v>990.91</v>
      </c>
      <c r="L356" s="8" t="s">
        <v>118</v>
      </c>
    </row>
    <row r="357" spans="1:12">
      <c r="A357" s="9" t="s">
        <v>417</v>
      </c>
      <c r="B357" s="10" t="s">
        <v>35</v>
      </c>
      <c r="C357" s="10" t="s">
        <v>52</v>
      </c>
      <c r="D357" s="10">
        <v>1631.54</v>
      </c>
      <c r="E357" s="10">
        <v>0.45</v>
      </c>
      <c r="F357" s="10">
        <v>7</v>
      </c>
      <c r="G357" s="12">
        <v>45547</v>
      </c>
      <c r="H357" s="12">
        <v>45551</v>
      </c>
      <c r="I357" s="10" t="s">
        <v>16</v>
      </c>
      <c r="J357" s="10" t="s">
        <v>23</v>
      </c>
      <c r="K357" s="10">
        <v>197.89</v>
      </c>
      <c r="L357" s="13" t="s">
        <v>113</v>
      </c>
    </row>
    <row r="358" spans="1:12">
      <c r="A358" s="4" t="s">
        <v>418</v>
      </c>
      <c r="B358" s="5" t="s">
        <v>14</v>
      </c>
      <c r="C358" s="5" t="s">
        <v>28</v>
      </c>
      <c r="D358" s="5">
        <v>2931.18</v>
      </c>
      <c r="E358" s="5">
        <v>0.11</v>
      </c>
      <c r="F358" s="5">
        <v>5</v>
      </c>
      <c r="G358" s="7">
        <v>45555</v>
      </c>
      <c r="H358" s="7">
        <v>45558</v>
      </c>
      <c r="I358" s="5" t="s">
        <v>16</v>
      </c>
      <c r="J358" s="5" t="s">
        <v>17</v>
      </c>
      <c r="K358" s="5">
        <v>697.38</v>
      </c>
      <c r="L358" s="8" t="s">
        <v>70</v>
      </c>
    </row>
    <row r="359" spans="1:12">
      <c r="A359" s="9" t="s">
        <v>419</v>
      </c>
      <c r="B359" s="10" t="s">
        <v>20</v>
      </c>
      <c r="C359" s="10" t="s">
        <v>28</v>
      </c>
      <c r="D359" s="10">
        <v>3678.5</v>
      </c>
      <c r="E359" s="10">
        <v>0.11</v>
      </c>
      <c r="F359" s="10">
        <v>3</v>
      </c>
      <c r="G359" s="12">
        <v>45324</v>
      </c>
      <c r="H359" s="12">
        <v>45329</v>
      </c>
      <c r="I359" s="10" t="s">
        <v>22</v>
      </c>
      <c r="J359" s="10" t="s">
        <v>17</v>
      </c>
      <c r="K359" s="10">
        <v>743.04</v>
      </c>
      <c r="L359" s="13" t="s">
        <v>30</v>
      </c>
    </row>
    <row r="360" spans="1:12">
      <c r="A360" s="4" t="s">
        <v>420</v>
      </c>
      <c r="B360" s="5" t="s">
        <v>27</v>
      </c>
      <c r="C360" s="5" t="s">
        <v>52</v>
      </c>
      <c r="D360" s="5">
        <v>2052.59</v>
      </c>
      <c r="E360" s="5">
        <v>0.28000000000000003</v>
      </c>
      <c r="F360" s="5">
        <v>3</v>
      </c>
      <c r="G360" s="7">
        <v>45397</v>
      </c>
      <c r="H360" s="7">
        <v>45399</v>
      </c>
      <c r="I360" s="5" t="s">
        <v>22</v>
      </c>
      <c r="J360" s="5" t="s">
        <v>17</v>
      </c>
      <c r="K360" s="5">
        <v>315.05</v>
      </c>
      <c r="L360" s="8" t="s">
        <v>25</v>
      </c>
    </row>
    <row r="361" spans="1:12">
      <c r="A361" s="9" t="s">
        <v>421</v>
      </c>
      <c r="B361" s="10" t="s">
        <v>35</v>
      </c>
      <c r="C361" s="10" t="s">
        <v>28</v>
      </c>
      <c r="D361" s="10">
        <v>425</v>
      </c>
      <c r="E361" s="10">
        <v>0.33</v>
      </c>
      <c r="F361" s="10">
        <v>2</v>
      </c>
      <c r="G361" s="12">
        <v>45336</v>
      </c>
      <c r="H361" s="12">
        <v>45343</v>
      </c>
      <c r="I361" s="10" t="s">
        <v>42</v>
      </c>
      <c r="J361" s="10" t="s">
        <v>23</v>
      </c>
      <c r="K361" s="10">
        <v>88.73</v>
      </c>
      <c r="L361" s="13" t="s">
        <v>118</v>
      </c>
    </row>
    <row r="362" spans="1:12">
      <c r="A362" s="4" t="s">
        <v>422</v>
      </c>
      <c r="B362" s="5" t="s">
        <v>14</v>
      </c>
      <c r="C362" s="5" t="s">
        <v>52</v>
      </c>
      <c r="D362" s="5">
        <v>1223.01</v>
      </c>
      <c r="E362" s="5">
        <v>0.18</v>
      </c>
      <c r="F362" s="5">
        <v>1</v>
      </c>
      <c r="G362" s="7">
        <v>45544</v>
      </c>
      <c r="H362" s="7">
        <v>45548</v>
      </c>
      <c r="I362" s="5" t="s">
        <v>22</v>
      </c>
      <c r="J362" s="5" t="s">
        <v>23</v>
      </c>
      <c r="K362" s="5">
        <v>319.61</v>
      </c>
      <c r="L362" s="8" t="s">
        <v>74</v>
      </c>
    </row>
    <row r="363" spans="1:12">
      <c r="A363" s="9" t="s">
        <v>423</v>
      </c>
      <c r="B363" s="10" t="s">
        <v>20</v>
      </c>
      <c r="C363" s="10" t="s">
        <v>52</v>
      </c>
      <c r="D363" s="10">
        <v>4427.0200000000004</v>
      </c>
      <c r="E363" s="10">
        <v>0.26</v>
      </c>
      <c r="F363" s="10">
        <v>8</v>
      </c>
      <c r="G363" s="12">
        <v>45210</v>
      </c>
      <c r="H363" s="12">
        <v>45215</v>
      </c>
      <c r="I363" s="10" t="s">
        <v>22</v>
      </c>
      <c r="J363" s="10" t="s">
        <v>29</v>
      </c>
      <c r="K363" s="10">
        <v>466.97</v>
      </c>
      <c r="L363" s="13" t="s">
        <v>30</v>
      </c>
    </row>
    <row r="364" spans="1:12">
      <c r="A364" s="4" t="s">
        <v>424</v>
      </c>
      <c r="B364" s="5" t="s">
        <v>27</v>
      </c>
      <c r="C364" s="5" t="s">
        <v>52</v>
      </c>
      <c r="D364" s="5">
        <v>4139.95</v>
      </c>
      <c r="E364" s="5">
        <v>0.11</v>
      </c>
      <c r="F364" s="5">
        <v>9</v>
      </c>
      <c r="G364" s="7">
        <v>45157</v>
      </c>
      <c r="H364" s="7">
        <v>45163</v>
      </c>
      <c r="I364" s="5" t="s">
        <v>22</v>
      </c>
      <c r="J364" s="5" t="s">
        <v>17</v>
      </c>
      <c r="K364" s="5">
        <v>843.52</v>
      </c>
      <c r="L364" s="8" t="s">
        <v>82</v>
      </c>
    </row>
    <row r="365" spans="1:12">
      <c r="A365" s="9" t="s">
        <v>425</v>
      </c>
      <c r="B365" s="10" t="s">
        <v>35</v>
      </c>
      <c r="C365" s="10" t="s">
        <v>21</v>
      </c>
      <c r="D365" s="10">
        <v>524.01</v>
      </c>
      <c r="E365" s="10">
        <v>7.0000000000000007E-2</v>
      </c>
      <c r="F365" s="10">
        <v>2</v>
      </c>
      <c r="G365" s="12">
        <v>45585</v>
      </c>
      <c r="H365" s="12">
        <v>45586</v>
      </c>
      <c r="I365" s="10" t="s">
        <v>22</v>
      </c>
      <c r="J365" s="10" t="s">
        <v>29</v>
      </c>
      <c r="K365" s="10">
        <v>156.33000000000001</v>
      </c>
      <c r="L365" s="13" t="s">
        <v>24</v>
      </c>
    </row>
    <row r="366" spans="1:12">
      <c r="A366" s="4" t="s">
        <v>426</v>
      </c>
      <c r="B366" s="5" t="s">
        <v>14</v>
      </c>
      <c r="C366" s="5" t="s">
        <v>15</v>
      </c>
      <c r="D366" s="5">
        <v>1197.3499999999999</v>
      </c>
      <c r="E366" s="5">
        <v>0.12</v>
      </c>
      <c r="F366" s="5">
        <v>4</v>
      </c>
      <c r="G366" s="7">
        <v>44947</v>
      </c>
      <c r="H366" s="7">
        <v>44953</v>
      </c>
      <c r="I366" s="5" t="s">
        <v>22</v>
      </c>
      <c r="J366" s="5" t="s">
        <v>23</v>
      </c>
      <c r="K366" s="5">
        <v>298.56</v>
      </c>
      <c r="L366" s="8" t="s">
        <v>30</v>
      </c>
    </row>
    <row r="367" spans="1:12">
      <c r="A367" s="9" t="s">
        <v>427</v>
      </c>
      <c r="B367" s="10" t="s">
        <v>20</v>
      </c>
      <c r="C367" s="10" t="s">
        <v>21</v>
      </c>
      <c r="D367" s="10">
        <v>3868.91</v>
      </c>
      <c r="E367" s="10">
        <v>0.46</v>
      </c>
      <c r="F367" s="10">
        <v>3</v>
      </c>
      <c r="G367" s="12">
        <v>45202</v>
      </c>
      <c r="H367" s="12">
        <v>45206</v>
      </c>
      <c r="I367" s="10" t="s">
        <v>42</v>
      </c>
      <c r="J367" s="10" t="s">
        <v>17</v>
      </c>
      <c r="K367" s="10">
        <v>482.97</v>
      </c>
      <c r="L367" s="13" t="s">
        <v>113</v>
      </c>
    </row>
    <row r="368" spans="1:12">
      <c r="A368" s="4" t="s">
        <v>428</v>
      </c>
      <c r="B368" s="5" t="s">
        <v>27</v>
      </c>
      <c r="C368" s="5" t="s">
        <v>52</v>
      </c>
      <c r="D368" s="5">
        <v>2480.9</v>
      </c>
      <c r="E368" s="5">
        <v>0.4</v>
      </c>
      <c r="F368" s="5">
        <v>4</v>
      </c>
      <c r="G368" s="7">
        <v>45405</v>
      </c>
      <c r="H368" s="7">
        <v>45407</v>
      </c>
      <c r="I368" s="5" t="s">
        <v>16</v>
      </c>
      <c r="J368" s="5" t="s">
        <v>17</v>
      </c>
      <c r="K368" s="5">
        <v>610.64</v>
      </c>
      <c r="L368" s="8" t="s">
        <v>77</v>
      </c>
    </row>
    <row r="369" spans="1:12">
      <c r="A369" s="9" t="s">
        <v>429</v>
      </c>
      <c r="B369" s="10" t="s">
        <v>35</v>
      </c>
      <c r="C369" s="10" t="s">
        <v>15</v>
      </c>
      <c r="D369" s="10">
        <v>3823.84</v>
      </c>
      <c r="E369" s="10">
        <v>7.0000000000000007E-2</v>
      </c>
      <c r="F369" s="10">
        <v>4</v>
      </c>
      <c r="G369" s="12">
        <v>45273</v>
      </c>
      <c r="H369" s="12">
        <v>45276</v>
      </c>
      <c r="I369" s="10" t="s">
        <v>22</v>
      </c>
      <c r="J369" s="10" t="s">
        <v>17</v>
      </c>
      <c r="K369" s="10">
        <v>664.27</v>
      </c>
      <c r="L369" s="13" t="s">
        <v>82</v>
      </c>
    </row>
    <row r="370" spans="1:12">
      <c r="A370" s="4" t="s">
        <v>430</v>
      </c>
      <c r="B370" s="5" t="s">
        <v>14</v>
      </c>
      <c r="C370" s="5" t="s">
        <v>15</v>
      </c>
      <c r="D370" s="5">
        <v>1134.3499999999999</v>
      </c>
      <c r="E370" s="5">
        <v>0.02</v>
      </c>
      <c r="F370" s="5">
        <v>8</v>
      </c>
      <c r="G370" s="7">
        <v>45098</v>
      </c>
      <c r="H370" s="7">
        <v>45103</v>
      </c>
      <c r="I370" s="5" t="s">
        <v>22</v>
      </c>
      <c r="J370" s="5" t="s">
        <v>17</v>
      </c>
      <c r="K370" s="5">
        <v>278.14999999999998</v>
      </c>
      <c r="L370" s="8" t="s">
        <v>74</v>
      </c>
    </row>
    <row r="371" spans="1:12">
      <c r="A371" s="9" t="s">
        <v>431</v>
      </c>
      <c r="B371" s="10" t="s">
        <v>20</v>
      </c>
      <c r="C371" s="10" t="s">
        <v>52</v>
      </c>
      <c r="D371" s="10">
        <v>4768.22</v>
      </c>
      <c r="E371" s="10">
        <v>0.05</v>
      </c>
      <c r="F371" s="10">
        <v>3</v>
      </c>
      <c r="G371" s="12">
        <v>45469</v>
      </c>
      <c r="H371" s="12">
        <v>45475</v>
      </c>
      <c r="I371" s="10" t="s">
        <v>16</v>
      </c>
      <c r="J371" s="10" t="s">
        <v>29</v>
      </c>
      <c r="K371" s="10">
        <v>354.91</v>
      </c>
      <c r="L371" s="13" t="s">
        <v>84</v>
      </c>
    </row>
    <row r="372" spans="1:12">
      <c r="A372" s="4" t="s">
        <v>432</v>
      </c>
      <c r="B372" s="5" t="s">
        <v>27</v>
      </c>
      <c r="C372" s="5" t="s">
        <v>15</v>
      </c>
      <c r="D372" s="5">
        <v>3939.68</v>
      </c>
      <c r="E372" s="5">
        <v>0.15</v>
      </c>
      <c r="F372" s="5">
        <v>3</v>
      </c>
      <c r="G372" s="7">
        <v>44935</v>
      </c>
      <c r="H372" s="7">
        <v>44942</v>
      </c>
      <c r="I372" s="5" t="s">
        <v>16</v>
      </c>
      <c r="J372" s="5" t="s">
        <v>17</v>
      </c>
      <c r="K372" s="5">
        <v>1039.42</v>
      </c>
      <c r="L372" s="8" t="s">
        <v>87</v>
      </c>
    </row>
    <row r="373" spans="1:12">
      <c r="A373" s="9" t="s">
        <v>433</v>
      </c>
      <c r="B373" s="10" t="s">
        <v>35</v>
      </c>
      <c r="C373" s="10" t="s">
        <v>15</v>
      </c>
      <c r="D373" s="10">
        <v>1067.52</v>
      </c>
      <c r="E373" s="10">
        <v>0.41</v>
      </c>
      <c r="F373" s="10">
        <v>6</v>
      </c>
      <c r="G373" s="12">
        <v>45470</v>
      </c>
      <c r="H373" s="12">
        <v>45475</v>
      </c>
      <c r="I373" s="10" t="s">
        <v>42</v>
      </c>
      <c r="J373" s="10" t="s">
        <v>23</v>
      </c>
      <c r="K373" s="10">
        <v>318.77</v>
      </c>
      <c r="L373" s="13" t="s">
        <v>56</v>
      </c>
    </row>
    <row r="374" spans="1:12">
      <c r="A374" s="4" t="s">
        <v>434</v>
      </c>
      <c r="B374" s="5" t="s">
        <v>14</v>
      </c>
      <c r="C374" s="5" t="s">
        <v>21</v>
      </c>
      <c r="D374" s="5">
        <v>2836.4</v>
      </c>
      <c r="E374" s="5">
        <v>0.16</v>
      </c>
      <c r="F374" s="5">
        <v>3</v>
      </c>
      <c r="G374" s="7">
        <v>45128</v>
      </c>
      <c r="H374" s="7">
        <v>45132</v>
      </c>
      <c r="I374" s="5" t="s">
        <v>42</v>
      </c>
      <c r="J374" s="5" t="s">
        <v>29</v>
      </c>
      <c r="K374" s="5">
        <v>455.08</v>
      </c>
      <c r="L374" s="8" t="s">
        <v>18</v>
      </c>
    </row>
    <row r="375" spans="1:12">
      <c r="A375" s="9" t="s">
        <v>435</v>
      </c>
      <c r="B375" s="10" t="s">
        <v>20</v>
      </c>
      <c r="C375" s="10" t="s">
        <v>15</v>
      </c>
      <c r="D375" s="10">
        <v>654.17999999999995</v>
      </c>
      <c r="E375" s="10">
        <v>0.09</v>
      </c>
      <c r="F375" s="10">
        <v>5</v>
      </c>
      <c r="G375" s="12">
        <v>45106</v>
      </c>
      <c r="H375" s="12">
        <v>45109</v>
      </c>
      <c r="I375" s="10" t="s">
        <v>42</v>
      </c>
      <c r="J375" s="10" t="s">
        <v>17</v>
      </c>
      <c r="K375" s="10">
        <v>116.53</v>
      </c>
      <c r="L375" s="13" t="s">
        <v>37</v>
      </c>
    </row>
    <row r="376" spans="1:12">
      <c r="A376" s="4" t="s">
        <v>436</v>
      </c>
      <c r="B376" s="5" t="s">
        <v>27</v>
      </c>
      <c r="C376" s="5" t="s">
        <v>52</v>
      </c>
      <c r="D376" s="5">
        <v>1871.03</v>
      </c>
      <c r="E376" s="5">
        <v>0.2</v>
      </c>
      <c r="F376" s="5">
        <v>4</v>
      </c>
      <c r="G376" s="7">
        <v>45635</v>
      </c>
      <c r="H376" s="7">
        <v>45638</v>
      </c>
      <c r="I376" s="5" t="s">
        <v>16</v>
      </c>
      <c r="J376" s="5" t="s">
        <v>29</v>
      </c>
      <c r="K376" s="5">
        <v>181.06</v>
      </c>
      <c r="L376" s="8" t="s">
        <v>118</v>
      </c>
    </row>
    <row r="377" spans="1:12">
      <c r="A377" s="9" t="s">
        <v>437</v>
      </c>
      <c r="B377" s="10" t="s">
        <v>35</v>
      </c>
      <c r="C377" s="10" t="s">
        <v>47</v>
      </c>
      <c r="D377" s="10">
        <v>3332.14</v>
      </c>
      <c r="E377" s="10">
        <v>0.06</v>
      </c>
      <c r="F377" s="10">
        <v>4</v>
      </c>
      <c r="G377" s="12">
        <v>45643</v>
      </c>
      <c r="H377" s="12">
        <v>45644</v>
      </c>
      <c r="I377" s="10" t="s">
        <v>22</v>
      </c>
      <c r="J377" s="10" t="s">
        <v>29</v>
      </c>
      <c r="K377" s="10">
        <v>736.04</v>
      </c>
      <c r="L377" s="13" t="s">
        <v>84</v>
      </c>
    </row>
    <row r="378" spans="1:12">
      <c r="A378" s="4" t="s">
        <v>438</v>
      </c>
      <c r="B378" s="5" t="s">
        <v>14</v>
      </c>
      <c r="C378" s="5" t="s">
        <v>47</v>
      </c>
      <c r="D378" s="5">
        <v>1717.63</v>
      </c>
      <c r="E378" s="5">
        <v>0.24</v>
      </c>
      <c r="F378" s="5">
        <v>2</v>
      </c>
      <c r="G378" s="7">
        <v>45465</v>
      </c>
      <c r="H378" s="7">
        <v>45469</v>
      </c>
      <c r="I378" s="5" t="s">
        <v>16</v>
      </c>
      <c r="J378" s="5" t="s">
        <v>17</v>
      </c>
      <c r="K378" s="5">
        <v>119.18</v>
      </c>
      <c r="L378" s="8" t="s">
        <v>56</v>
      </c>
    </row>
    <row r="379" spans="1:12">
      <c r="A379" s="9" t="s">
        <v>439</v>
      </c>
      <c r="B379" s="10" t="s">
        <v>20</v>
      </c>
      <c r="C379" s="10" t="s">
        <v>47</v>
      </c>
      <c r="D379" s="10">
        <v>3318.12</v>
      </c>
      <c r="E379" s="10">
        <v>0.34</v>
      </c>
      <c r="F379" s="10">
        <v>9</v>
      </c>
      <c r="G379" s="12">
        <v>45440</v>
      </c>
      <c r="H379" s="12">
        <v>45446</v>
      </c>
      <c r="I379" s="10" t="s">
        <v>22</v>
      </c>
      <c r="J379" s="10" t="s">
        <v>23</v>
      </c>
      <c r="K379" s="10">
        <v>635.94000000000005</v>
      </c>
      <c r="L379" s="13" t="s">
        <v>63</v>
      </c>
    </row>
    <row r="380" spans="1:12">
      <c r="A380" s="4" t="s">
        <v>440</v>
      </c>
      <c r="B380" s="5" t="s">
        <v>27</v>
      </c>
      <c r="C380" s="5" t="s">
        <v>52</v>
      </c>
      <c r="D380" s="5">
        <v>1299.42</v>
      </c>
      <c r="E380" s="5">
        <v>0.18</v>
      </c>
      <c r="F380" s="5">
        <v>5</v>
      </c>
      <c r="G380" s="7">
        <v>45309</v>
      </c>
      <c r="H380" s="7">
        <v>45316</v>
      </c>
      <c r="I380" s="5" t="s">
        <v>16</v>
      </c>
      <c r="J380" s="5" t="s">
        <v>17</v>
      </c>
      <c r="K380" s="5">
        <v>200.91</v>
      </c>
      <c r="L380" s="8" t="s">
        <v>84</v>
      </c>
    </row>
    <row r="381" spans="1:12">
      <c r="A381" s="9" t="s">
        <v>441</v>
      </c>
      <c r="B381" s="10" t="s">
        <v>35</v>
      </c>
      <c r="C381" s="10" t="s">
        <v>47</v>
      </c>
      <c r="D381" s="10">
        <v>3633.91</v>
      </c>
      <c r="E381" s="10">
        <v>0.09</v>
      </c>
      <c r="F381" s="10">
        <v>5</v>
      </c>
      <c r="G381" s="12">
        <v>45320</v>
      </c>
      <c r="H381" s="12">
        <v>45325</v>
      </c>
      <c r="I381" s="10" t="s">
        <v>16</v>
      </c>
      <c r="J381" s="10" t="s">
        <v>17</v>
      </c>
      <c r="K381" s="10">
        <v>363.37</v>
      </c>
      <c r="L381" s="13" t="s">
        <v>84</v>
      </c>
    </row>
    <row r="382" spans="1:12">
      <c r="A382" s="4" t="s">
        <v>442</v>
      </c>
      <c r="B382" s="5" t="s">
        <v>14</v>
      </c>
      <c r="C382" s="5" t="s">
        <v>21</v>
      </c>
      <c r="D382" s="5">
        <v>1861.99</v>
      </c>
      <c r="E382" s="5">
        <v>0.23</v>
      </c>
      <c r="F382" s="5">
        <v>7</v>
      </c>
      <c r="G382" s="7">
        <v>45507</v>
      </c>
      <c r="H382" s="7">
        <v>45508</v>
      </c>
      <c r="I382" s="5" t="s">
        <v>16</v>
      </c>
      <c r="J382" s="5" t="s">
        <v>23</v>
      </c>
      <c r="K382" s="5">
        <v>477.12</v>
      </c>
      <c r="L382" s="8" t="s">
        <v>37</v>
      </c>
    </row>
    <row r="383" spans="1:12">
      <c r="A383" s="9" t="s">
        <v>443</v>
      </c>
      <c r="B383" s="10" t="s">
        <v>20</v>
      </c>
      <c r="C383" s="10" t="s">
        <v>52</v>
      </c>
      <c r="D383" s="10">
        <v>3973.36</v>
      </c>
      <c r="E383" s="10">
        <v>0.38</v>
      </c>
      <c r="F383" s="10">
        <v>3</v>
      </c>
      <c r="G383" s="12">
        <v>45632</v>
      </c>
      <c r="H383" s="12">
        <v>45637</v>
      </c>
      <c r="I383" s="10" t="s">
        <v>16</v>
      </c>
      <c r="J383" s="10" t="s">
        <v>17</v>
      </c>
      <c r="K383" s="10">
        <v>944.78</v>
      </c>
      <c r="L383" s="13" t="s">
        <v>25</v>
      </c>
    </row>
    <row r="384" spans="1:12">
      <c r="A384" s="4" t="s">
        <v>444</v>
      </c>
      <c r="B384" s="5" t="s">
        <v>27</v>
      </c>
      <c r="C384" s="5" t="s">
        <v>52</v>
      </c>
      <c r="D384" s="5">
        <v>769.78</v>
      </c>
      <c r="E384" s="5">
        <v>0.04</v>
      </c>
      <c r="F384" s="5">
        <v>6</v>
      </c>
      <c r="G384" s="7">
        <v>45172</v>
      </c>
      <c r="H384" s="7">
        <v>45178</v>
      </c>
      <c r="I384" s="5" t="s">
        <v>22</v>
      </c>
      <c r="J384" s="5" t="s">
        <v>23</v>
      </c>
      <c r="K384" s="5">
        <v>96.16</v>
      </c>
      <c r="L384" s="8" t="s">
        <v>54</v>
      </c>
    </row>
    <row r="385" spans="1:12">
      <c r="A385" s="9" t="s">
        <v>445</v>
      </c>
      <c r="B385" s="10" t="s">
        <v>35</v>
      </c>
      <c r="C385" s="10" t="s">
        <v>52</v>
      </c>
      <c r="D385" s="10">
        <v>1873.69</v>
      </c>
      <c r="E385" s="10">
        <v>0.04</v>
      </c>
      <c r="F385" s="10">
        <v>1</v>
      </c>
      <c r="G385" s="12">
        <v>45351</v>
      </c>
      <c r="H385" s="12">
        <v>45352</v>
      </c>
      <c r="I385" s="10" t="s">
        <v>22</v>
      </c>
      <c r="J385" s="10" t="s">
        <v>29</v>
      </c>
      <c r="K385" s="10">
        <v>274.62</v>
      </c>
      <c r="L385" s="13" t="s">
        <v>74</v>
      </c>
    </row>
    <row r="386" spans="1:12">
      <c r="A386" s="4" t="s">
        <v>446</v>
      </c>
      <c r="B386" s="5" t="s">
        <v>14</v>
      </c>
      <c r="C386" s="5" t="s">
        <v>15</v>
      </c>
      <c r="D386" s="5">
        <v>2373.27</v>
      </c>
      <c r="E386" s="5">
        <v>0.16</v>
      </c>
      <c r="F386" s="5">
        <v>5</v>
      </c>
      <c r="G386" s="7">
        <v>45230</v>
      </c>
      <c r="H386" s="7">
        <v>45236</v>
      </c>
      <c r="I386" s="5" t="s">
        <v>22</v>
      </c>
      <c r="J386" s="5" t="s">
        <v>23</v>
      </c>
      <c r="K386" s="5">
        <v>268.52999999999997</v>
      </c>
      <c r="L386" s="8" t="s">
        <v>18</v>
      </c>
    </row>
    <row r="387" spans="1:12">
      <c r="A387" s="9" t="s">
        <v>447</v>
      </c>
      <c r="B387" s="10" t="s">
        <v>20</v>
      </c>
      <c r="C387" s="10" t="s">
        <v>15</v>
      </c>
      <c r="D387" s="10">
        <v>2176.84</v>
      </c>
      <c r="E387" s="10">
        <v>0.21</v>
      </c>
      <c r="F387" s="10">
        <v>5</v>
      </c>
      <c r="G387" s="12">
        <v>45042</v>
      </c>
      <c r="H387" s="12">
        <v>45046</v>
      </c>
      <c r="I387" s="10" t="s">
        <v>22</v>
      </c>
      <c r="J387" s="10" t="s">
        <v>29</v>
      </c>
      <c r="K387" s="10">
        <v>223.02</v>
      </c>
      <c r="L387" s="13" t="s">
        <v>25</v>
      </c>
    </row>
    <row r="388" spans="1:12">
      <c r="A388" s="4" t="s">
        <v>448</v>
      </c>
      <c r="B388" s="5" t="s">
        <v>27</v>
      </c>
      <c r="C388" s="5" t="s">
        <v>15</v>
      </c>
      <c r="D388" s="5">
        <v>2222.16</v>
      </c>
      <c r="E388" s="5">
        <v>0.11</v>
      </c>
      <c r="F388" s="5">
        <v>9</v>
      </c>
      <c r="G388" s="7">
        <v>45043</v>
      </c>
      <c r="H388" s="7">
        <v>45049</v>
      </c>
      <c r="I388" s="5" t="s">
        <v>42</v>
      </c>
      <c r="J388" s="5" t="s">
        <v>23</v>
      </c>
      <c r="K388" s="5">
        <v>234.09</v>
      </c>
      <c r="L388" s="8" t="s">
        <v>18</v>
      </c>
    </row>
    <row r="389" spans="1:12">
      <c r="A389" s="9" t="s">
        <v>449</v>
      </c>
      <c r="B389" s="10" t="s">
        <v>35</v>
      </c>
      <c r="C389" s="10" t="s">
        <v>28</v>
      </c>
      <c r="D389" s="10">
        <v>2279.54</v>
      </c>
      <c r="E389" s="10">
        <v>0.01</v>
      </c>
      <c r="F389" s="10">
        <v>5</v>
      </c>
      <c r="G389" s="12">
        <v>45358</v>
      </c>
      <c r="H389" s="12">
        <v>45359</v>
      </c>
      <c r="I389" s="10" t="s">
        <v>42</v>
      </c>
      <c r="J389" s="10" t="s">
        <v>29</v>
      </c>
      <c r="K389" s="10">
        <v>190.23</v>
      </c>
      <c r="L389" s="13" t="s">
        <v>36</v>
      </c>
    </row>
    <row r="390" spans="1:12">
      <c r="A390" s="4" t="s">
        <v>450</v>
      </c>
      <c r="B390" s="5" t="s">
        <v>14</v>
      </c>
      <c r="C390" s="5" t="s">
        <v>21</v>
      </c>
      <c r="D390" s="5">
        <v>4945.1400000000003</v>
      </c>
      <c r="E390" s="5">
        <v>0.11</v>
      </c>
      <c r="F390" s="5">
        <v>8</v>
      </c>
      <c r="G390" s="7">
        <v>45051</v>
      </c>
      <c r="H390" s="7">
        <v>45052</v>
      </c>
      <c r="I390" s="5" t="s">
        <v>16</v>
      </c>
      <c r="J390" s="5" t="s">
        <v>23</v>
      </c>
      <c r="K390" s="5">
        <v>666.29</v>
      </c>
      <c r="L390" s="8" t="s">
        <v>113</v>
      </c>
    </row>
    <row r="391" spans="1:12">
      <c r="A391" s="9" t="s">
        <v>451</v>
      </c>
      <c r="B391" s="10" t="s">
        <v>20</v>
      </c>
      <c r="C391" s="10" t="s">
        <v>52</v>
      </c>
      <c r="D391" s="10">
        <v>1046.47</v>
      </c>
      <c r="E391" s="10">
        <v>0.22</v>
      </c>
      <c r="F391" s="10">
        <v>3</v>
      </c>
      <c r="G391" s="12">
        <v>44959</v>
      </c>
      <c r="H391" s="12">
        <v>44962</v>
      </c>
      <c r="I391" s="10" t="s">
        <v>22</v>
      </c>
      <c r="J391" s="10" t="s">
        <v>29</v>
      </c>
      <c r="K391" s="10">
        <v>233.82</v>
      </c>
      <c r="L391" s="13" t="s">
        <v>30</v>
      </c>
    </row>
    <row r="392" spans="1:12">
      <c r="A392" s="4" t="s">
        <v>452</v>
      </c>
      <c r="B392" s="5" t="s">
        <v>27</v>
      </c>
      <c r="C392" s="5" t="s">
        <v>52</v>
      </c>
      <c r="D392" s="5">
        <v>3866.45</v>
      </c>
      <c r="E392" s="5">
        <v>0.04</v>
      </c>
      <c r="F392" s="5">
        <v>6</v>
      </c>
      <c r="G392" s="7">
        <v>45399</v>
      </c>
      <c r="H392" s="7">
        <v>45405</v>
      </c>
      <c r="I392" s="5" t="s">
        <v>22</v>
      </c>
      <c r="J392" s="5" t="s">
        <v>17</v>
      </c>
      <c r="K392" s="5">
        <v>447.64</v>
      </c>
      <c r="L392" s="8" t="s">
        <v>77</v>
      </c>
    </row>
    <row r="393" spans="1:12">
      <c r="A393" s="9" t="s">
        <v>453</v>
      </c>
      <c r="B393" s="10" t="s">
        <v>35</v>
      </c>
      <c r="C393" s="10" t="s">
        <v>15</v>
      </c>
      <c r="D393" s="10">
        <v>2803.77</v>
      </c>
      <c r="E393" s="10">
        <v>0.36</v>
      </c>
      <c r="F393" s="10">
        <v>2</v>
      </c>
      <c r="G393" s="12">
        <v>45530</v>
      </c>
      <c r="H393" s="12">
        <v>45533</v>
      </c>
      <c r="I393" s="10" t="s">
        <v>16</v>
      </c>
      <c r="J393" s="10" t="s">
        <v>23</v>
      </c>
      <c r="K393" s="10">
        <v>632.89</v>
      </c>
      <c r="L393" s="13" t="s">
        <v>82</v>
      </c>
    </row>
    <row r="394" spans="1:12">
      <c r="A394" s="4" t="s">
        <v>454</v>
      </c>
      <c r="B394" s="5" t="s">
        <v>14</v>
      </c>
      <c r="C394" s="5" t="s">
        <v>52</v>
      </c>
      <c r="D394" s="5">
        <v>2126.7800000000002</v>
      </c>
      <c r="E394" s="5">
        <v>0.28000000000000003</v>
      </c>
      <c r="F394" s="5">
        <v>9</v>
      </c>
      <c r="G394" s="7">
        <v>45361</v>
      </c>
      <c r="H394" s="7">
        <v>45367</v>
      </c>
      <c r="I394" s="5" t="s">
        <v>16</v>
      </c>
      <c r="J394" s="5" t="s">
        <v>23</v>
      </c>
      <c r="K394" s="5">
        <v>513.26</v>
      </c>
      <c r="L394" s="8" t="s">
        <v>87</v>
      </c>
    </row>
    <row r="395" spans="1:12">
      <c r="A395" s="9" t="s">
        <v>455</v>
      </c>
      <c r="B395" s="10" t="s">
        <v>20</v>
      </c>
      <c r="C395" s="10" t="s">
        <v>52</v>
      </c>
      <c r="D395" s="10">
        <v>3204.29</v>
      </c>
      <c r="E395" s="10">
        <v>0.22</v>
      </c>
      <c r="F395" s="10">
        <v>6</v>
      </c>
      <c r="G395" s="12">
        <v>45630</v>
      </c>
      <c r="H395" s="12">
        <v>45635</v>
      </c>
      <c r="I395" s="10" t="s">
        <v>16</v>
      </c>
      <c r="J395" s="10" t="s">
        <v>29</v>
      </c>
      <c r="K395" s="10">
        <v>431.14</v>
      </c>
      <c r="L395" s="13" t="s">
        <v>82</v>
      </c>
    </row>
    <row r="396" spans="1:12">
      <c r="A396" s="4" t="s">
        <v>456</v>
      </c>
      <c r="B396" s="5" t="s">
        <v>27</v>
      </c>
      <c r="C396" s="5" t="s">
        <v>47</v>
      </c>
      <c r="D396" s="5">
        <v>4282.3</v>
      </c>
      <c r="E396" s="5">
        <v>0.26</v>
      </c>
      <c r="F396" s="5">
        <v>5</v>
      </c>
      <c r="G396" s="7">
        <v>44949</v>
      </c>
      <c r="H396" s="7">
        <v>44956</v>
      </c>
      <c r="I396" s="5" t="s">
        <v>22</v>
      </c>
      <c r="J396" s="5" t="s">
        <v>23</v>
      </c>
      <c r="K396" s="5">
        <v>275.87</v>
      </c>
      <c r="L396" s="8" t="s">
        <v>36</v>
      </c>
    </row>
    <row r="397" spans="1:12">
      <c r="A397" s="9" t="s">
        <v>457</v>
      </c>
      <c r="B397" s="10" t="s">
        <v>35</v>
      </c>
      <c r="C397" s="10" t="s">
        <v>52</v>
      </c>
      <c r="D397" s="10">
        <v>2386.5300000000002</v>
      </c>
      <c r="E397" s="10">
        <v>0.33</v>
      </c>
      <c r="F397" s="10">
        <v>9</v>
      </c>
      <c r="G397" s="12">
        <v>45008</v>
      </c>
      <c r="H397" s="12">
        <v>45011</v>
      </c>
      <c r="I397" s="10" t="s">
        <v>22</v>
      </c>
      <c r="J397" s="10" t="s">
        <v>23</v>
      </c>
      <c r="K397" s="10">
        <v>547.59</v>
      </c>
      <c r="L397" s="13" t="s">
        <v>63</v>
      </c>
    </row>
    <row r="398" spans="1:12">
      <c r="A398" s="4" t="s">
        <v>458</v>
      </c>
      <c r="B398" s="5" t="s">
        <v>14</v>
      </c>
      <c r="C398" s="5" t="s">
        <v>28</v>
      </c>
      <c r="D398" s="5">
        <v>4337.53</v>
      </c>
      <c r="E398" s="5">
        <v>0.5</v>
      </c>
      <c r="F398" s="5">
        <v>1</v>
      </c>
      <c r="G398" s="7">
        <v>45129</v>
      </c>
      <c r="H398" s="7">
        <v>45133</v>
      </c>
      <c r="I398" s="5" t="s">
        <v>22</v>
      </c>
      <c r="J398" s="5" t="s">
        <v>23</v>
      </c>
      <c r="K398" s="5">
        <v>367.48</v>
      </c>
      <c r="L398" s="8" t="s">
        <v>24</v>
      </c>
    </row>
    <row r="399" spans="1:12">
      <c r="A399" s="9" t="s">
        <v>459</v>
      </c>
      <c r="B399" s="10" t="s">
        <v>20</v>
      </c>
      <c r="C399" s="10" t="s">
        <v>15</v>
      </c>
      <c r="D399" s="10">
        <v>559.61</v>
      </c>
      <c r="E399" s="10">
        <v>0.39</v>
      </c>
      <c r="F399" s="10">
        <v>3</v>
      </c>
      <c r="G399" s="12">
        <v>45481</v>
      </c>
      <c r="H399" s="12">
        <v>45485</v>
      </c>
      <c r="I399" s="10" t="s">
        <v>42</v>
      </c>
      <c r="J399" s="10" t="s">
        <v>23</v>
      </c>
      <c r="K399" s="10">
        <v>66.31</v>
      </c>
      <c r="L399" s="13" t="s">
        <v>54</v>
      </c>
    </row>
    <row r="400" spans="1:12">
      <c r="A400" s="4" t="s">
        <v>460</v>
      </c>
      <c r="B400" s="5" t="s">
        <v>27</v>
      </c>
      <c r="C400" s="5" t="s">
        <v>21</v>
      </c>
      <c r="D400" s="5">
        <v>3300.11</v>
      </c>
      <c r="E400" s="5">
        <v>0.27</v>
      </c>
      <c r="F400" s="5">
        <v>2</v>
      </c>
      <c r="G400" s="7">
        <v>45033</v>
      </c>
      <c r="H400" s="7">
        <v>45034</v>
      </c>
      <c r="I400" s="5" t="s">
        <v>16</v>
      </c>
      <c r="J400" s="5" t="s">
        <v>23</v>
      </c>
      <c r="K400" s="5">
        <v>653.08000000000004</v>
      </c>
      <c r="L400" s="8" t="s">
        <v>36</v>
      </c>
    </row>
    <row r="401" spans="1:12">
      <c r="A401" s="9" t="s">
        <v>461</v>
      </c>
      <c r="B401" s="10" t="s">
        <v>35</v>
      </c>
      <c r="C401" s="10" t="s">
        <v>21</v>
      </c>
      <c r="D401" s="10">
        <v>1732.58</v>
      </c>
      <c r="E401" s="10">
        <v>0.39</v>
      </c>
      <c r="F401" s="10">
        <v>9</v>
      </c>
      <c r="G401" s="12">
        <v>45000</v>
      </c>
      <c r="H401" s="12">
        <v>45005</v>
      </c>
      <c r="I401" s="10" t="s">
        <v>22</v>
      </c>
      <c r="J401" s="10" t="s">
        <v>29</v>
      </c>
      <c r="K401" s="10">
        <v>484.92</v>
      </c>
      <c r="L401" s="13" t="s">
        <v>70</v>
      </c>
    </row>
    <row r="402" spans="1:12">
      <c r="A402" s="4" t="s">
        <v>462</v>
      </c>
      <c r="B402" s="5" t="s">
        <v>14</v>
      </c>
      <c r="C402" s="5" t="s">
        <v>47</v>
      </c>
      <c r="D402" s="5">
        <v>1994.91</v>
      </c>
      <c r="E402" s="5">
        <v>0.24</v>
      </c>
      <c r="F402" s="5">
        <v>6</v>
      </c>
      <c r="G402" s="7">
        <v>45282</v>
      </c>
      <c r="H402" s="7">
        <v>45289</v>
      </c>
      <c r="I402" s="5" t="s">
        <v>16</v>
      </c>
      <c r="J402" s="5" t="s">
        <v>23</v>
      </c>
      <c r="K402" s="5">
        <v>476.38</v>
      </c>
      <c r="L402" s="8" t="s">
        <v>74</v>
      </c>
    </row>
    <row r="403" spans="1:12">
      <c r="A403" s="9" t="s">
        <v>463</v>
      </c>
      <c r="B403" s="10" t="s">
        <v>20</v>
      </c>
      <c r="C403" s="10" t="s">
        <v>21</v>
      </c>
      <c r="D403" s="10">
        <v>2898</v>
      </c>
      <c r="E403" s="10">
        <v>0.16</v>
      </c>
      <c r="F403" s="10">
        <v>6</v>
      </c>
      <c r="G403" s="12">
        <v>45127</v>
      </c>
      <c r="H403" s="12">
        <v>45131</v>
      </c>
      <c r="I403" s="10" t="s">
        <v>42</v>
      </c>
      <c r="J403" s="10" t="s">
        <v>17</v>
      </c>
      <c r="K403" s="10">
        <v>339.95</v>
      </c>
      <c r="L403" s="13" t="s">
        <v>87</v>
      </c>
    </row>
    <row r="404" spans="1:12">
      <c r="A404" s="4" t="s">
        <v>464</v>
      </c>
      <c r="B404" s="5" t="s">
        <v>27</v>
      </c>
      <c r="C404" s="5" t="s">
        <v>21</v>
      </c>
      <c r="D404" s="5">
        <v>2451.59</v>
      </c>
      <c r="E404" s="5">
        <v>0.13</v>
      </c>
      <c r="F404" s="5">
        <v>5</v>
      </c>
      <c r="G404" s="7">
        <v>45288</v>
      </c>
      <c r="H404" s="7">
        <v>45289</v>
      </c>
      <c r="I404" s="5" t="s">
        <v>16</v>
      </c>
      <c r="J404" s="5" t="s">
        <v>17</v>
      </c>
      <c r="K404" s="5">
        <v>620.73</v>
      </c>
      <c r="L404" s="8" t="s">
        <v>25</v>
      </c>
    </row>
    <row r="405" spans="1:12">
      <c r="A405" s="9" t="s">
        <v>465</v>
      </c>
      <c r="B405" s="10" t="s">
        <v>35</v>
      </c>
      <c r="C405" s="10" t="s">
        <v>15</v>
      </c>
      <c r="D405" s="10">
        <v>1970.72</v>
      </c>
      <c r="E405" s="10">
        <v>0.2</v>
      </c>
      <c r="F405" s="10">
        <v>4</v>
      </c>
      <c r="G405" s="12">
        <v>45515</v>
      </c>
      <c r="H405" s="12">
        <v>45520</v>
      </c>
      <c r="I405" s="10" t="s">
        <v>22</v>
      </c>
      <c r="J405" s="10" t="s">
        <v>17</v>
      </c>
      <c r="K405" s="10">
        <v>300.44</v>
      </c>
      <c r="L405" s="13" t="s">
        <v>113</v>
      </c>
    </row>
    <row r="406" spans="1:12">
      <c r="A406" s="4" t="s">
        <v>466</v>
      </c>
      <c r="B406" s="5" t="s">
        <v>14</v>
      </c>
      <c r="C406" s="5" t="s">
        <v>15</v>
      </c>
      <c r="D406" s="5">
        <v>1610.78</v>
      </c>
      <c r="E406" s="5">
        <v>0</v>
      </c>
      <c r="F406" s="5">
        <v>4</v>
      </c>
      <c r="G406" s="7">
        <v>45397</v>
      </c>
      <c r="H406" s="7">
        <v>45401</v>
      </c>
      <c r="I406" s="5" t="s">
        <v>16</v>
      </c>
      <c r="J406" s="5" t="s">
        <v>29</v>
      </c>
      <c r="K406" s="5">
        <v>138.59</v>
      </c>
      <c r="L406" s="8" t="s">
        <v>25</v>
      </c>
    </row>
    <row r="407" spans="1:12">
      <c r="A407" s="9" t="s">
        <v>467</v>
      </c>
      <c r="B407" s="10" t="s">
        <v>20</v>
      </c>
      <c r="C407" s="10" t="s">
        <v>28</v>
      </c>
      <c r="D407" s="10">
        <v>3129.74</v>
      </c>
      <c r="E407" s="10">
        <v>0.09</v>
      </c>
      <c r="F407" s="10">
        <v>2</v>
      </c>
      <c r="G407" s="12">
        <v>45311</v>
      </c>
      <c r="H407" s="12">
        <v>45313</v>
      </c>
      <c r="I407" s="10" t="s">
        <v>22</v>
      </c>
      <c r="J407" s="10" t="s">
        <v>23</v>
      </c>
      <c r="K407" s="10">
        <v>398.59</v>
      </c>
      <c r="L407" s="13" t="s">
        <v>70</v>
      </c>
    </row>
    <row r="408" spans="1:12">
      <c r="A408" s="4" t="s">
        <v>468</v>
      </c>
      <c r="B408" s="5" t="s">
        <v>27</v>
      </c>
      <c r="C408" s="5" t="s">
        <v>47</v>
      </c>
      <c r="D408" s="5">
        <v>2577.34</v>
      </c>
      <c r="E408" s="5">
        <v>0.06</v>
      </c>
      <c r="F408" s="5">
        <v>7</v>
      </c>
      <c r="G408" s="7">
        <v>44945</v>
      </c>
      <c r="H408" s="7">
        <v>44946</v>
      </c>
      <c r="I408" s="5" t="s">
        <v>42</v>
      </c>
      <c r="J408" s="5" t="s">
        <v>23</v>
      </c>
      <c r="K408" s="5">
        <v>658.39</v>
      </c>
      <c r="L408" s="8" t="s">
        <v>118</v>
      </c>
    </row>
    <row r="409" spans="1:12">
      <c r="A409" s="9" t="s">
        <v>469</v>
      </c>
      <c r="B409" s="10" t="s">
        <v>35</v>
      </c>
      <c r="C409" s="10" t="s">
        <v>21</v>
      </c>
      <c r="D409" s="10">
        <v>1684.21</v>
      </c>
      <c r="E409" s="10">
        <v>0.48</v>
      </c>
      <c r="F409" s="10">
        <v>6</v>
      </c>
      <c r="G409" s="12">
        <v>45571</v>
      </c>
      <c r="H409" s="12">
        <v>45575</v>
      </c>
      <c r="I409" s="10" t="s">
        <v>42</v>
      </c>
      <c r="J409" s="10" t="s">
        <v>23</v>
      </c>
      <c r="K409" s="10">
        <v>240.4</v>
      </c>
      <c r="L409" s="13" t="s">
        <v>30</v>
      </c>
    </row>
    <row r="410" spans="1:12">
      <c r="A410" s="4" t="s">
        <v>470</v>
      </c>
      <c r="B410" s="5" t="s">
        <v>14</v>
      </c>
      <c r="C410" s="5" t="s">
        <v>28</v>
      </c>
      <c r="D410" s="5">
        <v>1104.31</v>
      </c>
      <c r="E410" s="5">
        <v>0.03</v>
      </c>
      <c r="F410" s="5">
        <v>3</v>
      </c>
      <c r="G410" s="7">
        <v>45621</v>
      </c>
      <c r="H410" s="7">
        <v>45623</v>
      </c>
      <c r="I410" s="5" t="s">
        <v>22</v>
      </c>
      <c r="J410" s="5" t="s">
        <v>23</v>
      </c>
      <c r="K410" s="5">
        <v>160.11000000000001</v>
      </c>
      <c r="L410" s="8" t="s">
        <v>30</v>
      </c>
    </row>
    <row r="411" spans="1:12">
      <c r="A411" s="9" t="s">
        <v>471</v>
      </c>
      <c r="B411" s="10" t="s">
        <v>20</v>
      </c>
      <c r="C411" s="10" t="s">
        <v>47</v>
      </c>
      <c r="D411" s="10">
        <v>3894.89</v>
      </c>
      <c r="E411" s="10">
        <v>0.25</v>
      </c>
      <c r="F411" s="10">
        <v>7</v>
      </c>
      <c r="G411" s="12">
        <v>45500</v>
      </c>
      <c r="H411" s="12">
        <v>45506</v>
      </c>
      <c r="I411" s="10" t="s">
        <v>42</v>
      </c>
      <c r="J411" s="10" t="s">
        <v>29</v>
      </c>
      <c r="K411" s="10">
        <v>1145.5</v>
      </c>
      <c r="L411" s="13" t="s">
        <v>70</v>
      </c>
    </row>
    <row r="412" spans="1:12">
      <c r="A412" s="4" t="s">
        <v>472</v>
      </c>
      <c r="B412" s="5" t="s">
        <v>27</v>
      </c>
      <c r="C412" s="5" t="s">
        <v>21</v>
      </c>
      <c r="D412" s="5">
        <v>4018.6</v>
      </c>
      <c r="E412" s="5">
        <v>0.46</v>
      </c>
      <c r="F412" s="5">
        <v>9</v>
      </c>
      <c r="G412" s="7">
        <v>45571</v>
      </c>
      <c r="H412" s="7">
        <v>45572</v>
      </c>
      <c r="I412" s="5" t="s">
        <v>16</v>
      </c>
      <c r="J412" s="5" t="s">
        <v>17</v>
      </c>
      <c r="K412" s="5">
        <v>719.59</v>
      </c>
      <c r="L412" s="8" t="s">
        <v>84</v>
      </c>
    </row>
    <row r="413" spans="1:12">
      <c r="A413" s="9" t="s">
        <v>473</v>
      </c>
      <c r="B413" s="10" t="s">
        <v>35</v>
      </c>
      <c r="C413" s="10" t="s">
        <v>21</v>
      </c>
      <c r="D413" s="10">
        <v>1147.56</v>
      </c>
      <c r="E413" s="10">
        <v>0.3</v>
      </c>
      <c r="F413" s="10">
        <v>1</v>
      </c>
      <c r="G413" s="12">
        <v>45047</v>
      </c>
      <c r="H413" s="12">
        <v>45051</v>
      </c>
      <c r="I413" s="10" t="s">
        <v>42</v>
      </c>
      <c r="J413" s="10" t="s">
        <v>29</v>
      </c>
      <c r="K413" s="10">
        <v>199.91</v>
      </c>
      <c r="L413" s="13" t="s">
        <v>70</v>
      </c>
    </row>
    <row r="414" spans="1:12">
      <c r="A414" s="4" t="s">
        <v>474</v>
      </c>
      <c r="B414" s="5" t="s">
        <v>14</v>
      </c>
      <c r="C414" s="5" t="s">
        <v>15</v>
      </c>
      <c r="D414" s="5">
        <v>1382.08</v>
      </c>
      <c r="E414" s="5">
        <v>0.25</v>
      </c>
      <c r="F414" s="5">
        <v>8</v>
      </c>
      <c r="G414" s="7">
        <v>45061</v>
      </c>
      <c r="H414" s="7">
        <v>45062</v>
      </c>
      <c r="I414" s="5" t="s">
        <v>42</v>
      </c>
      <c r="J414" s="5" t="s">
        <v>23</v>
      </c>
      <c r="K414" s="5">
        <v>321.3</v>
      </c>
      <c r="L414" s="8" t="s">
        <v>74</v>
      </c>
    </row>
    <row r="415" spans="1:12">
      <c r="A415" s="9" t="s">
        <v>475</v>
      </c>
      <c r="B415" s="10" t="s">
        <v>20</v>
      </c>
      <c r="C415" s="10" t="s">
        <v>52</v>
      </c>
      <c r="D415" s="10">
        <v>1271.8</v>
      </c>
      <c r="E415" s="10">
        <v>0.37</v>
      </c>
      <c r="F415" s="10">
        <v>2</v>
      </c>
      <c r="G415" s="12">
        <v>45181</v>
      </c>
      <c r="H415" s="12">
        <v>45184</v>
      </c>
      <c r="I415" s="10" t="s">
        <v>42</v>
      </c>
      <c r="J415" s="10" t="s">
        <v>23</v>
      </c>
      <c r="K415" s="10">
        <v>369.36</v>
      </c>
      <c r="L415" s="13" t="s">
        <v>54</v>
      </c>
    </row>
    <row r="416" spans="1:12">
      <c r="A416" s="4" t="s">
        <v>476</v>
      </c>
      <c r="B416" s="5" t="s">
        <v>27</v>
      </c>
      <c r="C416" s="5" t="s">
        <v>47</v>
      </c>
      <c r="D416" s="5">
        <v>4434.3900000000003</v>
      </c>
      <c r="E416" s="5">
        <v>0.18</v>
      </c>
      <c r="F416" s="5">
        <v>1</v>
      </c>
      <c r="G416" s="7">
        <v>45290</v>
      </c>
      <c r="H416" s="7">
        <v>45296</v>
      </c>
      <c r="I416" s="5" t="s">
        <v>42</v>
      </c>
      <c r="J416" s="5" t="s">
        <v>23</v>
      </c>
      <c r="K416" s="5">
        <v>1318.47</v>
      </c>
      <c r="L416" s="8" t="s">
        <v>63</v>
      </c>
    </row>
    <row r="417" spans="1:12">
      <c r="A417" s="9" t="s">
        <v>477</v>
      </c>
      <c r="B417" s="10" t="s">
        <v>35</v>
      </c>
      <c r="C417" s="10" t="s">
        <v>21</v>
      </c>
      <c r="D417" s="10">
        <v>3893.24</v>
      </c>
      <c r="E417" s="10">
        <v>0.1</v>
      </c>
      <c r="F417" s="10">
        <v>9</v>
      </c>
      <c r="G417" s="12">
        <v>45260</v>
      </c>
      <c r="H417" s="12">
        <v>45262</v>
      </c>
      <c r="I417" s="10" t="s">
        <v>22</v>
      </c>
      <c r="J417" s="10" t="s">
        <v>17</v>
      </c>
      <c r="K417" s="10">
        <v>954.08</v>
      </c>
      <c r="L417" s="13" t="s">
        <v>87</v>
      </c>
    </row>
    <row r="418" spans="1:12">
      <c r="A418" s="4" t="s">
        <v>478</v>
      </c>
      <c r="B418" s="5" t="s">
        <v>14</v>
      </c>
      <c r="C418" s="5" t="s">
        <v>47</v>
      </c>
      <c r="D418" s="5">
        <v>465.41</v>
      </c>
      <c r="E418" s="5">
        <v>0.42</v>
      </c>
      <c r="F418" s="5">
        <v>2</v>
      </c>
      <c r="G418" s="7">
        <v>45471</v>
      </c>
      <c r="H418" s="7">
        <v>45476</v>
      </c>
      <c r="I418" s="5" t="s">
        <v>42</v>
      </c>
      <c r="J418" s="5" t="s">
        <v>23</v>
      </c>
      <c r="K418" s="5">
        <v>124.67</v>
      </c>
      <c r="L418" s="8" t="s">
        <v>70</v>
      </c>
    </row>
    <row r="419" spans="1:12">
      <c r="A419" s="9" t="s">
        <v>479</v>
      </c>
      <c r="B419" s="10" t="s">
        <v>20</v>
      </c>
      <c r="C419" s="10" t="s">
        <v>28</v>
      </c>
      <c r="D419" s="10">
        <v>4180.0600000000004</v>
      </c>
      <c r="E419" s="10">
        <v>0.03</v>
      </c>
      <c r="F419" s="10">
        <v>7</v>
      </c>
      <c r="G419" s="12">
        <v>44932</v>
      </c>
      <c r="H419" s="12">
        <v>44937</v>
      </c>
      <c r="I419" s="10" t="s">
        <v>22</v>
      </c>
      <c r="J419" s="10" t="s">
        <v>23</v>
      </c>
      <c r="K419" s="10">
        <v>1157.1600000000001</v>
      </c>
      <c r="L419" s="13" t="s">
        <v>37</v>
      </c>
    </row>
    <row r="420" spans="1:12">
      <c r="A420" s="4" t="s">
        <v>480</v>
      </c>
      <c r="B420" s="5" t="s">
        <v>27</v>
      </c>
      <c r="C420" s="5" t="s">
        <v>28</v>
      </c>
      <c r="D420" s="5">
        <v>280.57</v>
      </c>
      <c r="E420" s="5">
        <v>0.4</v>
      </c>
      <c r="F420" s="5">
        <v>7</v>
      </c>
      <c r="G420" s="7">
        <v>45520</v>
      </c>
      <c r="H420" s="7">
        <v>45527</v>
      </c>
      <c r="I420" s="5" t="s">
        <v>22</v>
      </c>
      <c r="J420" s="5" t="s">
        <v>29</v>
      </c>
      <c r="K420" s="5">
        <v>66.28</v>
      </c>
      <c r="L420" s="8" t="s">
        <v>82</v>
      </c>
    </row>
    <row r="421" spans="1:12">
      <c r="A421" s="9" t="s">
        <v>481</v>
      </c>
      <c r="B421" s="10" t="s">
        <v>35</v>
      </c>
      <c r="C421" s="10" t="s">
        <v>52</v>
      </c>
      <c r="D421" s="10">
        <v>1340.68</v>
      </c>
      <c r="E421" s="10">
        <v>0.05</v>
      </c>
      <c r="F421" s="10">
        <v>1</v>
      </c>
      <c r="G421" s="12">
        <v>45060</v>
      </c>
      <c r="H421" s="12">
        <v>45061</v>
      </c>
      <c r="I421" s="10" t="s">
        <v>22</v>
      </c>
      <c r="J421" s="10" t="s">
        <v>23</v>
      </c>
      <c r="K421" s="10">
        <v>256.22000000000003</v>
      </c>
      <c r="L421" s="13" t="s">
        <v>70</v>
      </c>
    </row>
    <row r="422" spans="1:12">
      <c r="A422" s="4" t="s">
        <v>482</v>
      </c>
      <c r="B422" s="5" t="s">
        <v>14</v>
      </c>
      <c r="C422" s="5" t="s">
        <v>21</v>
      </c>
      <c r="D422" s="5">
        <v>4603.0600000000004</v>
      </c>
      <c r="E422" s="5">
        <v>0.31</v>
      </c>
      <c r="F422" s="5">
        <v>1</v>
      </c>
      <c r="G422" s="7">
        <v>45489</v>
      </c>
      <c r="H422" s="7">
        <v>45490</v>
      </c>
      <c r="I422" s="5" t="s">
        <v>16</v>
      </c>
      <c r="J422" s="5" t="s">
        <v>17</v>
      </c>
      <c r="K422" s="5">
        <v>517.95000000000005</v>
      </c>
      <c r="L422" s="8" t="s">
        <v>82</v>
      </c>
    </row>
    <row r="423" spans="1:12">
      <c r="A423" s="9" t="s">
        <v>483</v>
      </c>
      <c r="B423" s="10" t="s">
        <v>20</v>
      </c>
      <c r="C423" s="10" t="s">
        <v>15</v>
      </c>
      <c r="D423" s="10">
        <v>4335.22</v>
      </c>
      <c r="E423" s="10">
        <v>0.24</v>
      </c>
      <c r="F423" s="10">
        <v>7</v>
      </c>
      <c r="G423" s="12">
        <v>45148</v>
      </c>
      <c r="H423" s="12">
        <v>45151</v>
      </c>
      <c r="I423" s="10" t="s">
        <v>16</v>
      </c>
      <c r="J423" s="10" t="s">
        <v>29</v>
      </c>
      <c r="K423" s="10">
        <v>1006.56</v>
      </c>
      <c r="L423" s="13" t="s">
        <v>25</v>
      </c>
    </row>
    <row r="424" spans="1:12">
      <c r="A424" s="4" t="s">
        <v>484</v>
      </c>
      <c r="B424" s="5" t="s">
        <v>27</v>
      </c>
      <c r="C424" s="5" t="s">
        <v>21</v>
      </c>
      <c r="D424" s="5">
        <v>3929.03</v>
      </c>
      <c r="E424" s="5">
        <v>0.5</v>
      </c>
      <c r="F424" s="5">
        <v>6</v>
      </c>
      <c r="G424" s="7">
        <v>45194</v>
      </c>
      <c r="H424" s="7">
        <v>45196</v>
      </c>
      <c r="I424" s="5" t="s">
        <v>22</v>
      </c>
      <c r="J424" s="5" t="s">
        <v>23</v>
      </c>
      <c r="K424" s="5">
        <v>689.37</v>
      </c>
      <c r="L424" s="8" t="s">
        <v>82</v>
      </c>
    </row>
    <row r="425" spans="1:12">
      <c r="A425" s="9" t="s">
        <v>485</v>
      </c>
      <c r="B425" s="10" t="s">
        <v>35</v>
      </c>
      <c r="C425" s="10" t="s">
        <v>47</v>
      </c>
      <c r="D425" s="10">
        <v>2341.98</v>
      </c>
      <c r="E425" s="10">
        <v>0.19</v>
      </c>
      <c r="F425" s="10">
        <v>4</v>
      </c>
      <c r="G425" s="12">
        <v>45641</v>
      </c>
      <c r="H425" s="12">
        <v>45642</v>
      </c>
      <c r="I425" s="10" t="s">
        <v>16</v>
      </c>
      <c r="J425" s="10" t="s">
        <v>17</v>
      </c>
      <c r="K425" s="10">
        <v>654.1</v>
      </c>
      <c r="L425" s="13" t="s">
        <v>18</v>
      </c>
    </row>
    <row r="426" spans="1:12">
      <c r="A426" s="4" t="s">
        <v>486</v>
      </c>
      <c r="B426" s="5" t="s">
        <v>14</v>
      </c>
      <c r="C426" s="5" t="s">
        <v>28</v>
      </c>
      <c r="D426" s="5">
        <v>1674.93</v>
      </c>
      <c r="E426" s="5">
        <v>0.48</v>
      </c>
      <c r="F426" s="5">
        <v>3</v>
      </c>
      <c r="G426" s="7">
        <v>45560</v>
      </c>
      <c r="H426" s="7">
        <v>45565</v>
      </c>
      <c r="I426" s="5" t="s">
        <v>42</v>
      </c>
      <c r="J426" s="5" t="s">
        <v>29</v>
      </c>
      <c r="K426" s="5">
        <v>84.32</v>
      </c>
      <c r="L426" s="8" t="s">
        <v>37</v>
      </c>
    </row>
    <row r="427" spans="1:12">
      <c r="A427" s="9" t="s">
        <v>487</v>
      </c>
      <c r="B427" s="10" t="s">
        <v>20</v>
      </c>
      <c r="C427" s="10" t="s">
        <v>47</v>
      </c>
      <c r="D427" s="10">
        <v>4419.57</v>
      </c>
      <c r="E427" s="10">
        <v>0.2</v>
      </c>
      <c r="F427" s="10">
        <v>5</v>
      </c>
      <c r="G427" s="12">
        <v>45058</v>
      </c>
      <c r="H427" s="12">
        <v>45060</v>
      </c>
      <c r="I427" s="10" t="s">
        <v>16</v>
      </c>
      <c r="J427" s="10" t="s">
        <v>23</v>
      </c>
      <c r="K427" s="10">
        <v>1237.73</v>
      </c>
      <c r="L427" s="13" t="s">
        <v>82</v>
      </c>
    </row>
    <row r="428" spans="1:12">
      <c r="A428" s="4" t="s">
        <v>488</v>
      </c>
      <c r="B428" s="5" t="s">
        <v>27</v>
      </c>
      <c r="C428" s="5" t="s">
        <v>52</v>
      </c>
      <c r="D428" s="5">
        <v>3319.66</v>
      </c>
      <c r="E428" s="5">
        <v>0.34</v>
      </c>
      <c r="F428" s="5">
        <v>5</v>
      </c>
      <c r="G428" s="7">
        <v>44978</v>
      </c>
      <c r="H428" s="7">
        <v>44980</v>
      </c>
      <c r="I428" s="5" t="s">
        <v>42</v>
      </c>
      <c r="J428" s="5" t="s">
        <v>23</v>
      </c>
      <c r="K428" s="5">
        <v>954.37</v>
      </c>
      <c r="L428" s="8" t="s">
        <v>74</v>
      </c>
    </row>
    <row r="429" spans="1:12">
      <c r="A429" s="9" t="s">
        <v>489</v>
      </c>
      <c r="B429" s="10" t="s">
        <v>35</v>
      </c>
      <c r="C429" s="10" t="s">
        <v>28</v>
      </c>
      <c r="D429" s="10">
        <v>1547.99</v>
      </c>
      <c r="E429" s="10">
        <v>0.32</v>
      </c>
      <c r="F429" s="10">
        <v>3</v>
      </c>
      <c r="G429" s="12">
        <v>45181</v>
      </c>
      <c r="H429" s="12">
        <v>45184</v>
      </c>
      <c r="I429" s="10" t="s">
        <v>16</v>
      </c>
      <c r="J429" s="10" t="s">
        <v>29</v>
      </c>
      <c r="K429" s="10">
        <v>162.33000000000001</v>
      </c>
      <c r="L429" s="13" t="s">
        <v>24</v>
      </c>
    </row>
    <row r="430" spans="1:12">
      <c r="A430" s="4" t="s">
        <v>490</v>
      </c>
      <c r="B430" s="5" t="s">
        <v>14</v>
      </c>
      <c r="C430" s="5" t="s">
        <v>15</v>
      </c>
      <c r="D430" s="5">
        <v>2369.66</v>
      </c>
      <c r="E430" s="5">
        <v>0.04</v>
      </c>
      <c r="F430" s="5">
        <v>6</v>
      </c>
      <c r="G430" s="7">
        <v>45235</v>
      </c>
      <c r="H430" s="7">
        <v>45241</v>
      </c>
      <c r="I430" s="5" t="s">
        <v>22</v>
      </c>
      <c r="J430" s="5" t="s">
        <v>17</v>
      </c>
      <c r="K430" s="5">
        <v>639.24</v>
      </c>
      <c r="L430" s="8" t="s">
        <v>25</v>
      </c>
    </row>
    <row r="431" spans="1:12">
      <c r="A431" s="9" t="s">
        <v>491</v>
      </c>
      <c r="B431" s="10" t="s">
        <v>20</v>
      </c>
      <c r="C431" s="10" t="s">
        <v>28</v>
      </c>
      <c r="D431" s="10">
        <v>4419.3500000000004</v>
      </c>
      <c r="E431" s="10">
        <v>0.37</v>
      </c>
      <c r="F431" s="10">
        <v>3</v>
      </c>
      <c r="G431" s="12">
        <v>45275</v>
      </c>
      <c r="H431" s="12">
        <v>45276</v>
      </c>
      <c r="I431" s="10" t="s">
        <v>22</v>
      </c>
      <c r="J431" s="10" t="s">
        <v>29</v>
      </c>
      <c r="K431" s="10">
        <v>872.99</v>
      </c>
      <c r="L431" s="13" t="s">
        <v>70</v>
      </c>
    </row>
    <row r="432" spans="1:12">
      <c r="A432" s="4" t="s">
        <v>492</v>
      </c>
      <c r="B432" s="5" t="s">
        <v>27</v>
      </c>
      <c r="C432" s="5" t="s">
        <v>21</v>
      </c>
      <c r="D432" s="5">
        <v>4526.93</v>
      </c>
      <c r="E432" s="5">
        <v>0.1</v>
      </c>
      <c r="F432" s="5">
        <v>4</v>
      </c>
      <c r="G432" s="7">
        <v>45196</v>
      </c>
      <c r="H432" s="7">
        <v>45198</v>
      </c>
      <c r="I432" s="5" t="s">
        <v>16</v>
      </c>
      <c r="J432" s="5" t="s">
        <v>29</v>
      </c>
      <c r="K432" s="5">
        <v>558.38</v>
      </c>
      <c r="L432" s="8" t="s">
        <v>54</v>
      </c>
    </row>
    <row r="433" spans="1:12">
      <c r="A433" s="9" t="s">
        <v>493</v>
      </c>
      <c r="B433" s="10" t="s">
        <v>35</v>
      </c>
      <c r="C433" s="10" t="s">
        <v>21</v>
      </c>
      <c r="D433" s="10">
        <v>3330.58</v>
      </c>
      <c r="E433" s="10">
        <v>0.19</v>
      </c>
      <c r="F433" s="10">
        <v>3</v>
      </c>
      <c r="G433" s="12">
        <v>45331</v>
      </c>
      <c r="H433" s="12">
        <v>45334</v>
      </c>
      <c r="I433" s="10" t="s">
        <v>42</v>
      </c>
      <c r="J433" s="10" t="s">
        <v>17</v>
      </c>
      <c r="K433" s="10">
        <v>728.97</v>
      </c>
      <c r="L433" s="13" t="s">
        <v>113</v>
      </c>
    </row>
    <row r="434" spans="1:12">
      <c r="A434" s="4" t="s">
        <v>494</v>
      </c>
      <c r="B434" s="5" t="s">
        <v>14</v>
      </c>
      <c r="C434" s="5" t="s">
        <v>28</v>
      </c>
      <c r="D434" s="5">
        <v>3689.52</v>
      </c>
      <c r="E434" s="5">
        <v>0.39</v>
      </c>
      <c r="F434" s="5">
        <v>6</v>
      </c>
      <c r="G434" s="7">
        <v>45543</v>
      </c>
      <c r="H434" s="7">
        <v>45548</v>
      </c>
      <c r="I434" s="5" t="s">
        <v>42</v>
      </c>
      <c r="J434" s="5" t="s">
        <v>17</v>
      </c>
      <c r="K434" s="5">
        <v>920.08</v>
      </c>
      <c r="L434" s="8" t="s">
        <v>59</v>
      </c>
    </row>
    <row r="435" spans="1:12">
      <c r="A435" s="9" t="s">
        <v>495</v>
      </c>
      <c r="B435" s="10" t="s">
        <v>20</v>
      </c>
      <c r="C435" s="10" t="s">
        <v>52</v>
      </c>
      <c r="D435" s="10">
        <v>292.56</v>
      </c>
      <c r="E435" s="10">
        <v>0.47</v>
      </c>
      <c r="F435" s="10">
        <v>9</v>
      </c>
      <c r="G435" s="12">
        <v>45085</v>
      </c>
      <c r="H435" s="12">
        <v>45088</v>
      </c>
      <c r="I435" s="10" t="s">
        <v>22</v>
      </c>
      <c r="J435" s="10" t="s">
        <v>23</v>
      </c>
      <c r="K435" s="10">
        <v>45.46</v>
      </c>
      <c r="L435" s="13" t="s">
        <v>59</v>
      </c>
    </row>
    <row r="436" spans="1:12">
      <c r="A436" s="4" t="s">
        <v>496</v>
      </c>
      <c r="B436" s="5" t="s">
        <v>27</v>
      </c>
      <c r="C436" s="5" t="s">
        <v>21</v>
      </c>
      <c r="D436" s="5">
        <v>3062.54</v>
      </c>
      <c r="E436" s="5">
        <v>0.28000000000000003</v>
      </c>
      <c r="F436" s="5">
        <v>3</v>
      </c>
      <c r="G436" s="7">
        <v>45095</v>
      </c>
      <c r="H436" s="7">
        <v>45102</v>
      </c>
      <c r="I436" s="5" t="s">
        <v>42</v>
      </c>
      <c r="J436" s="5" t="s">
        <v>29</v>
      </c>
      <c r="K436" s="5">
        <v>628.74</v>
      </c>
      <c r="L436" s="8" t="s">
        <v>84</v>
      </c>
    </row>
    <row r="437" spans="1:12">
      <c r="A437" s="9" t="s">
        <v>497</v>
      </c>
      <c r="B437" s="10" t="s">
        <v>35</v>
      </c>
      <c r="C437" s="10" t="s">
        <v>21</v>
      </c>
      <c r="D437" s="10">
        <v>3476.06</v>
      </c>
      <c r="E437" s="10">
        <v>0.26</v>
      </c>
      <c r="F437" s="10">
        <v>1</v>
      </c>
      <c r="G437" s="12">
        <v>45573</v>
      </c>
      <c r="H437" s="12">
        <v>45580</v>
      </c>
      <c r="I437" s="10" t="s">
        <v>22</v>
      </c>
      <c r="J437" s="10" t="s">
        <v>23</v>
      </c>
      <c r="K437" s="10">
        <v>348.92</v>
      </c>
      <c r="L437" s="13" t="s">
        <v>118</v>
      </c>
    </row>
    <row r="438" spans="1:12">
      <c r="A438" s="4" t="s">
        <v>498</v>
      </c>
      <c r="B438" s="5" t="s">
        <v>14</v>
      </c>
      <c r="C438" s="5" t="s">
        <v>15</v>
      </c>
      <c r="D438" s="5">
        <v>199.85</v>
      </c>
      <c r="E438" s="5">
        <v>0.25</v>
      </c>
      <c r="F438" s="5">
        <v>7</v>
      </c>
      <c r="G438" s="7">
        <v>45499</v>
      </c>
      <c r="H438" s="7">
        <v>45506</v>
      </c>
      <c r="I438" s="5" t="s">
        <v>16</v>
      </c>
      <c r="J438" s="5" t="s">
        <v>17</v>
      </c>
      <c r="K438" s="5">
        <v>11.62</v>
      </c>
      <c r="L438" s="8" t="s">
        <v>54</v>
      </c>
    </row>
    <row r="439" spans="1:12">
      <c r="A439" s="9" t="s">
        <v>499</v>
      </c>
      <c r="B439" s="10" t="s">
        <v>20</v>
      </c>
      <c r="C439" s="10" t="s">
        <v>28</v>
      </c>
      <c r="D439" s="10">
        <v>4234.91</v>
      </c>
      <c r="E439" s="10">
        <v>0.41</v>
      </c>
      <c r="F439" s="10">
        <v>5</v>
      </c>
      <c r="G439" s="12">
        <v>45197</v>
      </c>
      <c r="H439" s="12">
        <v>45200</v>
      </c>
      <c r="I439" s="10" t="s">
        <v>16</v>
      </c>
      <c r="J439" s="10" t="s">
        <v>29</v>
      </c>
      <c r="K439" s="10">
        <v>1202.19</v>
      </c>
      <c r="L439" s="13" t="s">
        <v>25</v>
      </c>
    </row>
    <row r="440" spans="1:12">
      <c r="A440" s="4" t="s">
        <v>500</v>
      </c>
      <c r="B440" s="5" t="s">
        <v>27</v>
      </c>
      <c r="C440" s="5" t="s">
        <v>21</v>
      </c>
      <c r="D440" s="5">
        <v>4648.6000000000004</v>
      </c>
      <c r="E440" s="5">
        <v>0.5</v>
      </c>
      <c r="F440" s="5">
        <v>4</v>
      </c>
      <c r="G440" s="7">
        <v>45544</v>
      </c>
      <c r="H440" s="7">
        <v>45550</v>
      </c>
      <c r="I440" s="5" t="s">
        <v>16</v>
      </c>
      <c r="J440" s="5" t="s">
        <v>29</v>
      </c>
      <c r="K440" s="5">
        <v>411.68</v>
      </c>
      <c r="L440" s="8" t="s">
        <v>118</v>
      </c>
    </row>
    <row r="441" spans="1:12">
      <c r="A441" s="9" t="s">
        <v>501</v>
      </c>
      <c r="B441" s="10" t="s">
        <v>35</v>
      </c>
      <c r="C441" s="10" t="s">
        <v>52</v>
      </c>
      <c r="D441" s="10">
        <v>1265.8900000000001</v>
      </c>
      <c r="E441" s="10">
        <v>0.32</v>
      </c>
      <c r="F441" s="10">
        <v>3</v>
      </c>
      <c r="G441" s="12">
        <v>45403</v>
      </c>
      <c r="H441" s="12">
        <v>45410</v>
      </c>
      <c r="I441" s="10" t="s">
        <v>22</v>
      </c>
      <c r="J441" s="10" t="s">
        <v>29</v>
      </c>
      <c r="K441" s="10">
        <v>225.89</v>
      </c>
      <c r="L441" s="13" t="s">
        <v>56</v>
      </c>
    </row>
    <row r="442" spans="1:12">
      <c r="A442" s="4" t="s">
        <v>502</v>
      </c>
      <c r="B442" s="5" t="s">
        <v>14</v>
      </c>
      <c r="C442" s="5" t="s">
        <v>47</v>
      </c>
      <c r="D442" s="5">
        <v>4244.3999999999996</v>
      </c>
      <c r="E442" s="5">
        <v>0.19</v>
      </c>
      <c r="F442" s="5">
        <v>7</v>
      </c>
      <c r="G442" s="7">
        <v>45325</v>
      </c>
      <c r="H442" s="7">
        <v>45328</v>
      </c>
      <c r="I442" s="5" t="s">
        <v>16</v>
      </c>
      <c r="J442" s="5" t="s">
        <v>17</v>
      </c>
      <c r="K442" s="5">
        <v>302.62</v>
      </c>
      <c r="L442" s="8" t="s">
        <v>87</v>
      </c>
    </row>
    <row r="443" spans="1:12">
      <c r="A443" s="9" t="s">
        <v>503</v>
      </c>
      <c r="B443" s="10" t="s">
        <v>20</v>
      </c>
      <c r="C443" s="10" t="s">
        <v>28</v>
      </c>
      <c r="D443" s="10">
        <v>3361.01</v>
      </c>
      <c r="E443" s="10">
        <v>0.11</v>
      </c>
      <c r="F443" s="10">
        <v>2</v>
      </c>
      <c r="G443" s="12">
        <v>45267</v>
      </c>
      <c r="H443" s="12">
        <v>45274</v>
      </c>
      <c r="I443" s="10" t="s">
        <v>42</v>
      </c>
      <c r="J443" s="10" t="s">
        <v>17</v>
      </c>
      <c r="K443" s="10">
        <v>887.13</v>
      </c>
      <c r="L443" s="13" t="s">
        <v>118</v>
      </c>
    </row>
    <row r="444" spans="1:12">
      <c r="A444" s="4" t="s">
        <v>504</v>
      </c>
      <c r="B444" s="5" t="s">
        <v>27</v>
      </c>
      <c r="C444" s="5" t="s">
        <v>15</v>
      </c>
      <c r="D444" s="5">
        <v>2945.41</v>
      </c>
      <c r="E444" s="5">
        <v>0.1</v>
      </c>
      <c r="F444" s="5">
        <v>4</v>
      </c>
      <c r="G444" s="7">
        <v>45543</v>
      </c>
      <c r="H444" s="7">
        <v>45544</v>
      </c>
      <c r="I444" s="5" t="s">
        <v>22</v>
      </c>
      <c r="J444" s="5" t="s">
        <v>29</v>
      </c>
      <c r="K444" s="5">
        <v>715.35</v>
      </c>
      <c r="L444" s="8" t="s">
        <v>63</v>
      </c>
    </row>
    <row r="445" spans="1:12">
      <c r="A445" s="9" t="s">
        <v>505</v>
      </c>
      <c r="B445" s="10" t="s">
        <v>35</v>
      </c>
      <c r="C445" s="10" t="s">
        <v>21</v>
      </c>
      <c r="D445" s="10">
        <v>4231.32</v>
      </c>
      <c r="E445" s="10">
        <v>0.43</v>
      </c>
      <c r="F445" s="10">
        <v>2</v>
      </c>
      <c r="G445" s="12">
        <v>45526</v>
      </c>
      <c r="H445" s="12">
        <v>45529</v>
      </c>
      <c r="I445" s="10" t="s">
        <v>42</v>
      </c>
      <c r="J445" s="10" t="s">
        <v>29</v>
      </c>
      <c r="K445" s="10">
        <v>416.16</v>
      </c>
      <c r="L445" s="13" t="s">
        <v>70</v>
      </c>
    </row>
    <row r="446" spans="1:12">
      <c r="A446" s="4" t="s">
        <v>506</v>
      </c>
      <c r="B446" s="5" t="s">
        <v>14</v>
      </c>
      <c r="C446" s="5" t="s">
        <v>52</v>
      </c>
      <c r="D446" s="5">
        <v>1499.49</v>
      </c>
      <c r="E446" s="5">
        <v>0.5</v>
      </c>
      <c r="F446" s="5">
        <v>8</v>
      </c>
      <c r="G446" s="7">
        <v>44933</v>
      </c>
      <c r="H446" s="7">
        <v>44938</v>
      </c>
      <c r="I446" s="5" t="s">
        <v>16</v>
      </c>
      <c r="J446" s="5" t="s">
        <v>17</v>
      </c>
      <c r="K446" s="5">
        <v>380.04</v>
      </c>
      <c r="L446" s="8" t="s">
        <v>84</v>
      </c>
    </row>
    <row r="447" spans="1:12">
      <c r="A447" s="9" t="s">
        <v>507</v>
      </c>
      <c r="B447" s="10" t="s">
        <v>20</v>
      </c>
      <c r="C447" s="10" t="s">
        <v>28</v>
      </c>
      <c r="D447" s="10">
        <v>3975.2</v>
      </c>
      <c r="E447" s="10">
        <v>0.35</v>
      </c>
      <c r="F447" s="10">
        <v>3</v>
      </c>
      <c r="G447" s="12">
        <v>44950</v>
      </c>
      <c r="H447" s="12">
        <v>44952</v>
      </c>
      <c r="I447" s="10" t="s">
        <v>22</v>
      </c>
      <c r="J447" s="10" t="s">
        <v>17</v>
      </c>
      <c r="K447" s="10">
        <v>537.94000000000005</v>
      </c>
      <c r="L447" s="13" t="s">
        <v>87</v>
      </c>
    </row>
    <row r="448" spans="1:12">
      <c r="A448" s="4" t="s">
        <v>508</v>
      </c>
      <c r="B448" s="5" t="s">
        <v>27</v>
      </c>
      <c r="C448" s="5" t="s">
        <v>52</v>
      </c>
      <c r="D448" s="5">
        <v>1641.15</v>
      </c>
      <c r="E448" s="5">
        <v>0.48</v>
      </c>
      <c r="F448" s="5">
        <v>5</v>
      </c>
      <c r="G448" s="7">
        <v>45495</v>
      </c>
      <c r="H448" s="7">
        <v>45502</v>
      </c>
      <c r="I448" s="5" t="s">
        <v>22</v>
      </c>
      <c r="J448" s="5" t="s">
        <v>17</v>
      </c>
      <c r="K448" s="5">
        <v>426.36</v>
      </c>
      <c r="L448" s="8" t="s">
        <v>84</v>
      </c>
    </row>
    <row r="449" spans="1:12">
      <c r="A449" s="9" t="s">
        <v>509</v>
      </c>
      <c r="B449" s="10" t="s">
        <v>35</v>
      </c>
      <c r="C449" s="10" t="s">
        <v>52</v>
      </c>
      <c r="D449" s="10">
        <v>3958.54</v>
      </c>
      <c r="E449" s="10">
        <v>0.17</v>
      </c>
      <c r="F449" s="10">
        <v>4</v>
      </c>
      <c r="G449" s="12">
        <v>45653</v>
      </c>
      <c r="H449" s="12">
        <v>45660</v>
      </c>
      <c r="I449" s="10" t="s">
        <v>22</v>
      </c>
      <c r="J449" s="10" t="s">
        <v>29</v>
      </c>
      <c r="K449" s="10">
        <v>446.02</v>
      </c>
      <c r="L449" s="13" t="s">
        <v>24</v>
      </c>
    </row>
    <row r="450" spans="1:12">
      <c r="A450" s="4" t="s">
        <v>510</v>
      </c>
      <c r="B450" s="5" t="s">
        <v>14</v>
      </c>
      <c r="C450" s="5" t="s">
        <v>15</v>
      </c>
      <c r="D450" s="5">
        <v>2310.16</v>
      </c>
      <c r="E450" s="5">
        <v>0.31</v>
      </c>
      <c r="F450" s="5">
        <v>5</v>
      </c>
      <c r="G450" s="7">
        <v>45246</v>
      </c>
      <c r="H450" s="7">
        <v>45250</v>
      </c>
      <c r="I450" s="5" t="s">
        <v>16</v>
      </c>
      <c r="J450" s="5" t="s">
        <v>23</v>
      </c>
      <c r="K450" s="5">
        <v>387.87</v>
      </c>
      <c r="L450" s="8" t="s">
        <v>37</v>
      </c>
    </row>
    <row r="451" spans="1:12">
      <c r="A451" s="9" t="s">
        <v>511</v>
      </c>
      <c r="B451" s="10" t="s">
        <v>20</v>
      </c>
      <c r="C451" s="10" t="s">
        <v>28</v>
      </c>
      <c r="D451" s="10">
        <v>673.03</v>
      </c>
      <c r="E451" s="10">
        <v>0.26</v>
      </c>
      <c r="F451" s="10">
        <v>4</v>
      </c>
      <c r="G451" s="12">
        <v>45463</v>
      </c>
      <c r="H451" s="12">
        <v>45470</v>
      </c>
      <c r="I451" s="10" t="s">
        <v>22</v>
      </c>
      <c r="J451" s="10" t="s">
        <v>23</v>
      </c>
      <c r="K451" s="10">
        <v>77.650000000000006</v>
      </c>
      <c r="L451" s="13" t="s">
        <v>36</v>
      </c>
    </row>
    <row r="452" spans="1:12">
      <c r="A452" s="4" t="s">
        <v>512</v>
      </c>
      <c r="B452" s="5" t="s">
        <v>27</v>
      </c>
      <c r="C452" s="5" t="s">
        <v>21</v>
      </c>
      <c r="D452" s="5">
        <v>1969.45</v>
      </c>
      <c r="E452" s="5">
        <v>0.24</v>
      </c>
      <c r="F452" s="5">
        <v>8</v>
      </c>
      <c r="G452" s="7">
        <v>45382</v>
      </c>
      <c r="H452" s="7">
        <v>45388</v>
      </c>
      <c r="I452" s="5" t="s">
        <v>22</v>
      </c>
      <c r="J452" s="5" t="s">
        <v>29</v>
      </c>
      <c r="K452" s="5">
        <v>428.31</v>
      </c>
      <c r="L452" s="8" t="s">
        <v>63</v>
      </c>
    </row>
    <row r="453" spans="1:12">
      <c r="A453" s="9" t="s">
        <v>513</v>
      </c>
      <c r="B453" s="10" t="s">
        <v>35</v>
      </c>
      <c r="C453" s="10" t="s">
        <v>15</v>
      </c>
      <c r="D453" s="10">
        <v>1244.1199999999999</v>
      </c>
      <c r="E453" s="10">
        <v>0.32</v>
      </c>
      <c r="F453" s="10">
        <v>6</v>
      </c>
      <c r="G453" s="12">
        <v>45344</v>
      </c>
      <c r="H453" s="12">
        <v>45345</v>
      </c>
      <c r="I453" s="10" t="s">
        <v>16</v>
      </c>
      <c r="J453" s="10" t="s">
        <v>23</v>
      </c>
      <c r="K453" s="10">
        <v>79.13</v>
      </c>
      <c r="L453" s="13" t="s">
        <v>82</v>
      </c>
    </row>
    <row r="454" spans="1:12">
      <c r="A454" s="4" t="s">
        <v>514</v>
      </c>
      <c r="B454" s="5" t="s">
        <v>14</v>
      </c>
      <c r="C454" s="5" t="s">
        <v>21</v>
      </c>
      <c r="D454" s="5">
        <v>592.6</v>
      </c>
      <c r="E454" s="5">
        <v>0.16</v>
      </c>
      <c r="F454" s="5">
        <v>1</v>
      </c>
      <c r="G454" s="7">
        <v>45409</v>
      </c>
      <c r="H454" s="7">
        <v>45413</v>
      </c>
      <c r="I454" s="5" t="s">
        <v>16</v>
      </c>
      <c r="J454" s="5" t="s">
        <v>29</v>
      </c>
      <c r="K454" s="5">
        <v>115.42</v>
      </c>
      <c r="L454" s="8" t="s">
        <v>113</v>
      </c>
    </row>
    <row r="455" spans="1:12">
      <c r="A455" s="9" t="s">
        <v>515</v>
      </c>
      <c r="B455" s="10" t="s">
        <v>20</v>
      </c>
      <c r="C455" s="10" t="s">
        <v>47</v>
      </c>
      <c r="D455" s="10">
        <v>640.41</v>
      </c>
      <c r="E455" s="10">
        <v>0.32</v>
      </c>
      <c r="F455" s="10">
        <v>5</v>
      </c>
      <c r="G455" s="12">
        <v>45492</v>
      </c>
      <c r="H455" s="12">
        <v>45499</v>
      </c>
      <c r="I455" s="10" t="s">
        <v>42</v>
      </c>
      <c r="J455" s="10" t="s">
        <v>23</v>
      </c>
      <c r="K455" s="10">
        <v>150.09</v>
      </c>
      <c r="L455" s="13" t="s">
        <v>70</v>
      </c>
    </row>
    <row r="456" spans="1:12">
      <c r="A456" s="4" t="s">
        <v>516</v>
      </c>
      <c r="B456" s="5" t="s">
        <v>27</v>
      </c>
      <c r="C456" s="5" t="s">
        <v>52</v>
      </c>
      <c r="D456" s="5">
        <v>3922.35</v>
      </c>
      <c r="E456" s="5">
        <v>0.34</v>
      </c>
      <c r="F456" s="5">
        <v>1</v>
      </c>
      <c r="G456" s="7">
        <v>45012</v>
      </c>
      <c r="H456" s="7">
        <v>45018</v>
      </c>
      <c r="I456" s="5" t="s">
        <v>42</v>
      </c>
      <c r="J456" s="5" t="s">
        <v>29</v>
      </c>
      <c r="K456" s="5">
        <v>387.72</v>
      </c>
      <c r="L456" s="8" t="s">
        <v>56</v>
      </c>
    </row>
    <row r="457" spans="1:12">
      <c r="A457" s="9" t="s">
        <v>517</v>
      </c>
      <c r="B457" s="10" t="s">
        <v>35</v>
      </c>
      <c r="C457" s="10" t="s">
        <v>47</v>
      </c>
      <c r="D457" s="10">
        <v>4418.8500000000004</v>
      </c>
      <c r="E457" s="10">
        <v>0.42</v>
      </c>
      <c r="F457" s="10">
        <v>3</v>
      </c>
      <c r="G457" s="12">
        <v>45429</v>
      </c>
      <c r="H457" s="12">
        <v>45435</v>
      </c>
      <c r="I457" s="10" t="s">
        <v>42</v>
      </c>
      <c r="J457" s="10" t="s">
        <v>17</v>
      </c>
      <c r="K457" s="10">
        <v>482.71</v>
      </c>
      <c r="L457" s="13" t="s">
        <v>37</v>
      </c>
    </row>
    <row r="458" spans="1:12">
      <c r="A458" s="4" t="s">
        <v>518</v>
      </c>
      <c r="B458" s="5" t="s">
        <v>14</v>
      </c>
      <c r="C458" s="5" t="s">
        <v>52</v>
      </c>
      <c r="D458" s="5">
        <v>4642.93</v>
      </c>
      <c r="E458" s="5">
        <v>0.37</v>
      </c>
      <c r="F458" s="5">
        <v>6</v>
      </c>
      <c r="G458" s="7">
        <v>45290</v>
      </c>
      <c r="H458" s="7">
        <v>45293</v>
      </c>
      <c r="I458" s="5" t="s">
        <v>22</v>
      </c>
      <c r="J458" s="5" t="s">
        <v>23</v>
      </c>
      <c r="K458" s="5">
        <v>1074.45</v>
      </c>
      <c r="L458" s="8" t="s">
        <v>118</v>
      </c>
    </row>
    <row r="459" spans="1:12">
      <c r="A459" s="9" t="s">
        <v>519</v>
      </c>
      <c r="B459" s="10" t="s">
        <v>20</v>
      </c>
      <c r="C459" s="10" t="s">
        <v>15</v>
      </c>
      <c r="D459" s="10">
        <v>4284.34</v>
      </c>
      <c r="E459" s="10">
        <v>0.16</v>
      </c>
      <c r="F459" s="10">
        <v>9</v>
      </c>
      <c r="G459" s="12">
        <v>44963</v>
      </c>
      <c r="H459" s="12">
        <v>44964</v>
      </c>
      <c r="I459" s="10" t="s">
        <v>16</v>
      </c>
      <c r="J459" s="10" t="s">
        <v>23</v>
      </c>
      <c r="K459" s="10">
        <v>659.46</v>
      </c>
      <c r="L459" s="13" t="s">
        <v>18</v>
      </c>
    </row>
    <row r="460" spans="1:12">
      <c r="A460" s="4" t="s">
        <v>520</v>
      </c>
      <c r="B460" s="5" t="s">
        <v>27</v>
      </c>
      <c r="C460" s="5" t="s">
        <v>21</v>
      </c>
      <c r="D460" s="5">
        <v>4168.1000000000004</v>
      </c>
      <c r="E460" s="5">
        <v>0.23</v>
      </c>
      <c r="F460" s="5">
        <v>3</v>
      </c>
      <c r="G460" s="7">
        <v>45212</v>
      </c>
      <c r="H460" s="7">
        <v>45217</v>
      </c>
      <c r="I460" s="5" t="s">
        <v>42</v>
      </c>
      <c r="J460" s="5" t="s">
        <v>17</v>
      </c>
      <c r="K460" s="5">
        <v>857.48</v>
      </c>
      <c r="L460" s="8" t="s">
        <v>74</v>
      </c>
    </row>
    <row r="461" spans="1:12">
      <c r="A461" s="9" t="s">
        <v>521</v>
      </c>
      <c r="B461" s="10" t="s">
        <v>35</v>
      </c>
      <c r="C461" s="10" t="s">
        <v>21</v>
      </c>
      <c r="D461" s="10">
        <v>437.3</v>
      </c>
      <c r="E461" s="10">
        <v>0.06</v>
      </c>
      <c r="F461" s="10">
        <v>4</v>
      </c>
      <c r="G461" s="12">
        <v>45433</v>
      </c>
      <c r="H461" s="12">
        <v>45437</v>
      </c>
      <c r="I461" s="10" t="s">
        <v>42</v>
      </c>
      <c r="J461" s="10" t="s">
        <v>23</v>
      </c>
      <c r="K461" s="10">
        <v>68.510000000000005</v>
      </c>
      <c r="L461" s="13" t="s">
        <v>84</v>
      </c>
    </row>
    <row r="462" spans="1:12">
      <c r="A462" s="4" t="s">
        <v>522</v>
      </c>
      <c r="B462" s="5" t="s">
        <v>14</v>
      </c>
      <c r="C462" s="5" t="s">
        <v>15</v>
      </c>
      <c r="D462" s="5">
        <v>3971.61</v>
      </c>
      <c r="E462" s="5">
        <v>0.13</v>
      </c>
      <c r="F462" s="5">
        <v>1</v>
      </c>
      <c r="G462" s="7">
        <v>45552</v>
      </c>
      <c r="H462" s="7">
        <v>45554</v>
      </c>
      <c r="I462" s="5" t="s">
        <v>16</v>
      </c>
      <c r="J462" s="5" t="s">
        <v>29</v>
      </c>
      <c r="K462" s="5">
        <v>614.4</v>
      </c>
      <c r="L462" s="8" t="s">
        <v>70</v>
      </c>
    </row>
    <row r="463" spans="1:12">
      <c r="A463" s="9" t="s">
        <v>523</v>
      </c>
      <c r="B463" s="10" t="s">
        <v>20</v>
      </c>
      <c r="C463" s="10" t="s">
        <v>28</v>
      </c>
      <c r="D463" s="10">
        <v>3938.09</v>
      </c>
      <c r="E463" s="10">
        <v>0.26</v>
      </c>
      <c r="F463" s="10">
        <v>2</v>
      </c>
      <c r="G463" s="12">
        <v>45114</v>
      </c>
      <c r="H463" s="12">
        <v>45120</v>
      </c>
      <c r="I463" s="10" t="s">
        <v>22</v>
      </c>
      <c r="J463" s="10" t="s">
        <v>29</v>
      </c>
      <c r="K463" s="10">
        <v>492.8</v>
      </c>
      <c r="L463" s="13" t="s">
        <v>87</v>
      </c>
    </row>
    <row r="464" spans="1:12">
      <c r="A464" s="4" t="s">
        <v>524</v>
      </c>
      <c r="B464" s="5" t="s">
        <v>27</v>
      </c>
      <c r="C464" s="5" t="s">
        <v>47</v>
      </c>
      <c r="D464" s="5">
        <v>743.32</v>
      </c>
      <c r="E464" s="5">
        <v>0.05</v>
      </c>
      <c r="F464" s="5">
        <v>7</v>
      </c>
      <c r="G464" s="7">
        <v>45056</v>
      </c>
      <c r="H464" s="7">
        <v>45061</v>
      </c>
      <c r="I464" s="5" t="s">
        <v>16</v>
      </c>
      <c r="J464" s="5" t="s">
        <v>17</v>
      </c>
      <c r="K464" s="5">
        <v>145.88999999999999</v>
      </c>
      <c r="L464" s="8" t="s">
        <v>70</v>
      </c>
    </row>
    <row r="465" spans="1:12">
      <c r="A465" s="9" t="s">
        <v>525</v>
      </c>
      <c r="B465" s="10" t="s">
        <v>35</v>
      </c>
      <c r="C465" s="10" t="s">
        <v>47</v>
      </c>
      <c r="D465" s="10">
        <v>3343.85</v>
      </c>
      <c r="E465" s="10">
        <v>0.28999999999999998</v>
      </c>
      <c r="F465" s="10">
        <v>8</v>
      </c>
      <c r="G465" s="12">
        <v>45230</v>
      </c>
      <c r="H465" s="12">
        <v>45235</v>
      </c>
      <c r="I465" s="10" t="s">
        <v>16</v>
      </c>
      <c r="J465" s="10" t="s">
        <v>23</v>
      </c>
      <c r="K465" s="10">
        <v>668.21</v>
      </c>
      <c r="L465" s="13" t="s">
        <v>30</v>
      </c>
    </row>
    <row r="466" spans="1:12">
      <c r="A466" s="4" t="s">
        <v>526</v>
      </c>
      <c r="B466" s="5" t="s">
        <v>14</v>
      </c>
      <c r="C466" s="5" t="s">
        <v>21</v>
      </c>
      <c r="D466" s="5">
        <v>2317.29</v>
      </c>
      <c r="E466" s="5">
        <v>0.2</v>
      </c>
      <c r="F466" s="5">
        <v>1</v>
      </c>
      <c r="G466" s="7">
        <v>45653</v>
      </c>
      <c r="H466" s="7">
        <v>45657</v>
      </c>
      <c r="I466" s="5" t="s">
        <v>16</v>
      </c>
      <c r="J466" s="5" t="s">
        <v>29</v>
      </c>
      <c r="K466" s="5">
        <v>551.62</v>
      </c>
      <c r="L466" s="8" t="s">
        <v>118</v>
      </c>
    </row>
    <row r="467" spans="1:12">
      <c r="A467" s="9" t="s">
        <v>527</v>
      </c>
      <c r="B467" s="10" t="s">
        <v>20</v>
      </c>
      <c r="C467" s="10" t="s">
        <v>21</v>
      </c>
      <c r="D467" s="10">
        <v>4510.07</v>
      </c>
      <c r="E467" s="10">
        <v>0.02</v>
      </c>
      <c r="F467" s="10">
        <v>9</v>
      </c>
      <c r="G467" s="12">
        <v>45462</v>
      </c>
      <c r="H467" s="12">
        <v>45464</v>
      </c>
      <c r="I467" s="10" t="s">
        <v>22</v>
      </c>
      <c r="J467" s="10" t="s">
        <v>17</v>
      </c>
      <c r="K467" s="10">
        <v>791.13</v>
      </c>
      <c r="L467" s="13" t="s">
        <v>74</v>
      </c>
    </row>
    <row r="468" spans="1:12">
      <c r="A468" s="4" t="s">
        <v>528</v>
      </c>
      <c r="B468" s="5" t="s">
        <v>27</v>
      </c>
      <c r="C468" s="5" t="s">
        <v>21</v>
      </c>
      <c r="D468" s="5">
        <v>3507.5</v>
      </c>
      <c r="E468" s="5">
        <v>0.22</v>
      </c>
      <c r="F468" s="5">
        <v>6</v>
      </c>
      <c r="G468" s="7">
        <v>45175</v>
      </c>
      <c r="H468" s="7">
        <v>45176</v>
      </c>
      <c r="I468" s="5" t="s">
        <v>42</v>
      </c>
      <c r="J468" s="5" t="s">
        <v>23</v>
      </c>
      <c r="K468" s="5">
        <v>668.11</v>
      </c>
      <c r="L468" s="8" t="s">
        <v>84</v>
      </c>
    </row>
    <row r="469" spans="1:12">
      <c r="A469" s="9" t="s">
        <v>529</v>
      </c>
      <c r="B469" s="10" t="s">
        <v>35</v>
      </c>
      <c r="C469" s="10" t="s">
        <v>15</v>
      </c>
      <c r="D469" s="10">
        <v>4759.84</v>
      </c>
      <c r="E469" s="10">
        <v>0.14000000000000001</v>
      </c>
      <c r="F469" s="10">
        <v>1</v>
      </c>
      <c r="G469" s="12">
        <v>45153</v>
      </c>
      <c r="H469" s="12">
        <v>45160</v>
      </c>
      <c r="I469" s="10" t="s">
        <v>42</v>
      </c>
      <c r="J469" s="10" t="s">
        <v>29</v>
      </c>
      <c r="K469" s="10">
        <v>1246.55</v>
      </c>
      <c r="L469" s="13" t="s">
        <v>74</v>
      </c>
    </row>
    <row r="470" spans="1:12">
      <c r="A470" s="4" t="s">
        <v>530</v>
      </c>
      <c r="B470" s="5" t="s">
        <v>14</v>
      </c>
      <c r="C470" s="5" t="s">
        <v>28</v>
      </c>
      <c r="D470" s="5">
        <v>614.12</v>
      </c>
      <c r="E470" s="5">
        <v>0.03</v>
      </c>
      <c r="F470" s="5">
        <v>4</v>
      </c>
      <c r="G470" s="7">
        <v>45638</v>
      </c>
      <c r="H470" s="7">
        <v>45643</v>
      </c>
      <c r="I470" s="5" t="s">
        <v>22</v>
      </c>
      <c r="J470" s="5" t="s">
        <v>23</v>
      </c>
      <c r="K470" s="5">
        <v>36.9</v>
      </c>
      <c r="L470" s="8" t="s">
        <v>59</v>
      </c>
    </row>
    <row r="471" spans="1:12">
      <c r="A471" s="9" t="s">
        <v>531</v>
      </c>
      <c r="B471" s="10" t="s">
        <v>20</v>
      </c>
      <c r="C471" s="10" t="s">
        <v>47</v>
      </c>
      <c r="D471" s="10">
        <v>298.98</v>
      </c>
      <c r="E471" s="10">
        <v>0.15</v>
      </c>
      <c r="F471" s="10">
        <v>4</v>
      </c>
      <c r="G471" s="12">
        <v>45410</v>
      </c>
      <c r="H471" s="12">
        <v>45411</v>
      </c>
      <c r="I471" s="10" t="s">
        <v>16</v>
      </c>
      <c r="J471" s="10" t="s">
        <v>23</v>
      </c>
      <c r="K471" s="10">
        <v>53.78</v>
      </c>
      <c r="L471" s="13" t="s">
        <v>30</v>
      </c>
    </row>
    <row r="472" spans="1:12">
      <c r="A472" s="4" t="s">
        <v>532</v>
      </c>
      <c r="B472" s="5" t="s">
        <v>27</v>
      </c>
      <c r="C472" s="5" t="s">
        <v>52</v>
      </c>
      <c r="D472" s="5">
        <v>4870.54</v>
      </c>
      <c r="E472" s="5">
        <v>0.15</v>
      </c>
      <c r="F472" s="5">
        <v>7</v>
      </c>
      <c r="G472" s="7">
        <v>45584</v>
      </c>
      <c r="H472" s="7">
        <v>45589</v>
      </c>
      <c r="I472" s="5" t="s">
        <v>16</v>
      </c>
      <c r="J472" s="5" t="s">
        <v>29</v>
      </c>
      <c r="K472" s="5">
        <v>397.26</v>
      </c>
      <c r="L472" s="8" t="s">
        <v>118</v>
      </c>
    </row>
    <row r="473" spans="1:12">
      <c r="A473" s="9" t="s">
        <v>533</v>
      </c>
      <c r="B473" s="10" t="s">
        <v>35</v>
      </c>
      <c r="C473" s="10" t="s">
        <v>15</v>
      </c>
      <c r="D473" s="10">
        <v>492.94</v>
      </c>
      <c r="E473" s="10">
        <v>0.18</v>
      </c>
      <c r="F473" s="10">
        <v>1</v>
      </c>
      <c r="G473" s="12">
        <v>45250</v>
      </c>
      <c r="H473" s="12">
        <v>45257</v>
      </c>
      <c r="I473" s="10" t="s">
        <v>42</v>
      </c>
      <c r="J473" s="10" t="s">
        <v>23</v>
      </c>
      <c r="K473" s="10">
        <v>109.12</v>
      </c>
      <c r="L473" s="13" t="s">
        <v>56</v>
      </c>
    </row>
    <row r="474" spans="1:12">
      <c r="A474" s="4" t="s">
        <v>534</v>
      </c>
      <c r="B474" s="5" t="s">
        <v>14</v>
      </c>
      <c r="C474" s="5" t="s">
        <v>47</v>
      </c>
      <c r="D474" s="5">
        <v>1992.36</v>
      </c>
      <c r="E474" s="5">
        <v>0.18</v>
      </c>
      <c r="F474" s="5">
        <v>9</v>
      </c>
      <c r="G474" s="7">
        <v>44934</v>
      </c>
      <c r="H474" s="7">
        <v>44937</v>
      </c>
      <c r="I474" s="5" t="s">
        <v>42</v>
      </c>
      <c r="J474" s="5" t="s">
        <v>29</v>
      </c>
      <c r="K474" s="5">
        <v>545.08000000000004</v>
      </c>
      <c r="L474" s="8" t="s">
        <v>74</v>
      </c>
    </row>
    <row r="475" spans="1:12">
      <c r="A475" s="9" t="s">
        <v>535</v>
      </c>
      <c r="B475" s="10" t="s">
        <v>20</v>
      </c>
      <c r="C475" s="10" t="s">
        <v>28</v>
      </c>
      <c r="D475" s="10">
        <v>3284.86</v>
      </c>
      <c r="E475" s="10">
        <v>0.21</v>
      </c>
      <c r="F475" s="10">
        <v>1</v>
      </c>
      <c r="G475" s="12">
        <v>44982</v>
      </c>
      <c r="H475" s="12">
        <v>44989</v>
      </c>
      <c r="I475" s="10" t="s">
        <v>16</v>
      </c>
      <c r="J475" s="10" t="s">
        <v>29</v>
      </c>
      <c r="K475" s="10">
        <v>512.98</v>
      </c>
      <c r="L475" s="13" t="s">
        <v>77</v>
      </c>
    </row>
    <row r="476" spans="1:12">
      <c r="A476" s="4" t="s">
        <v>536</v>
      </c>
      <c r="B476" s="5" t="s">
        <v>27</v>
      </c>
      <c r="C476" s="5" t="s">
        <v>15</v>
      </c>
      <c r="D476" s="5">
        <v>4412.28</v>
      </c>
      <c r="E476" s="5">
        <v>0.05</v>
      </c>
      <c r="F476" s="5">
        <v>3</v>
      </c>
      <c r="G476" s="7">
        <v>45499</v>
      </c>
      <c r="H476" s="7">
        <v>45505</v>
      </c>
      <c r="I476" s="5" t="s">
        <v>22</v>
      </c>
      <c r="J476" s="5" t="s">
        <v>29</v>
      </c>
      <c r="K476" s="5">
        <v>921.96</v>
      </c>
      <c r="L476" s="8" t="s">
        <v>18</v>
      </c>
    </row>
    <row r="477" spans="1:12">
      <c r="A477" s="9" t="s">
        <v>537</v>
      </c>
      <c r="B477" s="10" t="s">
        <v>35</v>
      </c>
      <c r="C477" s="10" t="s">
        <v>47</v>
      </c>
      <c r="D477" s="10">
        <v>1347.43</v>
      </c>
      <c r="E477" s="10">
        <v>0</v>
      </c>
      <c r="F477" s="10">
        <v>1</v>
      </c>
      <c r="G477" s="12">
        <v>45477</v>
      </c>
      <c r="H477" s="12">
        <v>45484</v>
      </c>
      <c r="I477" s="10" t="s">
        <v>42</v>
      </c>
      <c r="J477" s="10" t="s">
        <v>17</v>
      </c>
      <c r="K477" s="10">
        <v>191.82</v>
      </c>
      <c r="L477" s="13" t="s">
        <v>84</v>
      </c>
    </row>
    <row r="478" spans="1:12">
      <c r="A478" s="4" t="s">
        <v>538</v>
      </c>
      <c r="B478" s="5" t="s">
        <v>14</v>
      </c>
      <c r="C478" s="5" t="s">
        <v>15</v>
      </c>
      <c r="D478" s="5">
        <v>242.39</v>
      </c>
      <c r="E478" s="5">
        <v>0.37</v>
      </c>
      <c r="F478" s="5">
        <v>1</v>
      </c>
      <c r="G478" s="7">
        <v>45200</v>
      </c>
      <c r="H478" s="7">
        <v>45205</v>
      </c>
      <c r="I478" s="5" t="s">
        <v>22</v>
      </c>
      <c r="J478" s="5" t="s">
        <v>17</v>
      </c>
      <c r="K478" s="5">
        <v>57.92</v>
      </c>
      <c r="L478" s="8" t="s">
        <v>30</v>
      </c>
    </row>
    <row r="479" spans="1:12">
      <c r="A479" s="9" t="s">
        <v>539</v>
      </c>
      <c r="B479" s="10" t="s">
        <v>20</v>
      </c>
      <c r="C479" s="10" t="s">
        <v>47</v>
      </c>
      <c r="D479" s="10">
        <v>2654.31</v>
      </c>
      <c r="E479" s="10">
        <v>0.17</v>
      </c>
      <c r="F479" s="10">
        <v>4</v>
      </c>
      <c r="G479" s="12">
        <v>45023</v>
      </c>
      <c r="H479" s="12">
        <v>45024</v>
      </c>
      <c r="I479" s="10" t="s">
        <v>22</v>
      </c>
      <c r="J479" s="10" t="s">
        <v>23</v>
      </c>
      <c r="K479" s="10">
        <v>523.78</v>
      </c>
      <c r="L479" s="13" t="s">
        <v>59</v>
      </c>
    </row>
    <row r="480" spans="1:12">
      <c r="A480" s="4" t="s">
        <v>540</v>
      </c>
      <c r="B480" s="5" t="s">
        <v>27</v>
      </c>
      <c r="C480" s="5" t="s">
        <v>47</v>
      </c>
      <c r="D480" s="5">
        <v>2408.4499999999998</v>
      </c>
      <c r="E480" s="5">
        <v>0.31</v>
      </c>
      <c r="F480" s="5">
        <v>2</v>
      </c>
      <c r="G480" s="7">
        <v>45584</v>
      </c>
      <c r="H480" s="7">
        <v>45586</v>
      </c>
      <c r="I480" s="5" t="s">
        <v>16</v>
      </c>
      <c r="J480" s="5" t="s">
        <v>29</v>
      </c>
      <c r="K480" s="5">
        <v>485.96</v>
      </c>
      <c r="L480" s="8" t="s">
        <v>87</v>
      </c>
    </row>
    <row r="481" spans="1:12">
      <c r="A481" s="9" t="s">
        <v>541</v>
      </c>
      <c r="B481" s="10" t="s">
        <v>35</v>
      </c>
      <c r="C481" s="10" t="s">
        <v>28</v>
      </c>
      <c r="D481" s="10">
        <v>1603.78</v>
      </c>
      <c r="E481" s="10">
        <v>0.15</v>
      </c>
      <c r="F481" s="10">
        <v>9</v>
      </c>
      <c r="G481" s="12">
        <v>45024</v>
      </c>
      <c r="H481" s="12">
        <v>45028</v>
      </c>
      <c r="I481" s="10" t="s">
        <v>22</v>
      </c>
      <c r="J481" s="10" t="s">
        <v>29</v>
      </c>
      <c r="K481" s="10">
        <v>149.71</v>
      </c>
      <c r="L481" s="13" t="s">
        <v>118</v>
      </c>
    </row>
    <row r="482" spans="1:12">
      <c r="A482" s="4" t="s">
        <v>542</v>
      </c>
      <c r="B482" s="5" t="s">
        <v>14</v>
      </c>
      <c r="C482" s="5" t="s">
        <v>52</v>
      </c>
      <c r="D482" s="5">
        <v>4382.1099999999997</v>
      </c>
      <c r="E482" s="5">
        <v>0.49</v>
      </c>
      <c r="F482" s="5">
        <v>1</v>
      </c>
      <c r="G482" s="7">
        <v>45137</v>
      </c>
      <c r="H482" s="7">
        <v>45139</v>
      </c>
      <c r="I482" s="5" t="s">
        <v>16</v>
      </c>
      <c r="J482" s="5" t="s">
        <v>29</v>
      </c>
      <c r="K482" s="5">
        <v>226.6</v>
      </c>
      <c r="L482" s="8" t="s">
        <v>82</v>
      </c>
    </row>
    <row r="483" spans="1:12">
      <c r="A483" s="9" t="s">
        <v>543</v>
      </c>
      <c r="B483" s="10" t="s">
        <v>20</v>
      </c>
      <c r="C483" s="10" t="s">
        <v>28</v>
      </c>
      <c r="D483" s="10">
        <v>3771.68</v>
      </c>
      <c r="E483" s="10">
        <v>0.16</v>
      </c>
      <c r="F483" s="10">
        <v>3</v>
      </c>
      <c r="G483" s="12">
        <v>45480</v>
      </c>
      <c r="H483" s="12">
        <v>45485</v>
      </c>
      <c r="I483" s="10" t="s">
        <v>22</v>
      </c>
      <c r="J483" s="10" t="s">
        <v>17</v>
      </c>
      <c r="K483" s="10">
        <v>778.64</v>
      </c>
      <c r="L483" s="13" t="s">
        <v>77</v>
      </c>
    </row>
    <row r="484" spans="1:12">
      <c r="A484" s="4" t="s">
        <v>544</v>
      </c>
      <c r="B484" s="5" t="s">
        <v>27</v>
      </c>
      <c r="C484" s="5" t="s">
        <v>47</v>
      </c>
      <c r="D484" s="5">
        <v>4304.7700000000004</v>
      </c>
      <c r="E484" s="5">
        <v>0.3</v>
      </c>
      <c r="F484" s="5">
        <v>2</v>
      </c>
      <c r="G484" s="7">
        <v>45491</v>
      </c>
      <c r="H484" s="7">
        <v>45492</v>
      </c>
      <c r="I484" s="5" t="s">
        <v>42</v>
      </c>
      <c r="J484" s="5" t="s">
        <v>29</v>
      </c>
      <c r="K484" s="5">
        <v>336.04</v>
      </c>
      <c r="L484" s="8" t="s">
        <v>84</v>
      </c>
    </row>
    <row r="485" spans="1:12">
      <c r="A485" s="9" t="s">
        <v>545</v>
      </c>
      <c r="B485" s="10" t="s">
        <v>35</v>
      </c>
      <c r="C485" s="10" t="s">
        <v>15</v>
      </c>
      <c r="D485" s="10">
        <v>892.86</v>
      </c>
      <c r="E485" s="10">
        <v>0.11</v>
      </c>
      <c r="F485" s="10">
        <v>1</v>
      </c>
      <c r="G485" s="12">
        <v>44959</v>
      </c>
      <c r="H485" s="12">
        <v>44962</v>
      </c>
      <c r="I485" s="10" t="s">
        <v>16</v>
      </c>
      <c r="J485" s="10" t="s">
        <v>23</v>
      </c>
      <c r="K485" s="10">
        <v>74.44</v>
      </c>
      <c r="L485" s="13" t="s">
        <v>113</v>
      </c>
    </row>
    <row r="486" spans="1:12">
      <c r="A486" s="4" t="s">
        <v>546</v>
      </c>
      <c r="B486" s="5" t="s">
        <v>14</v>
      </c>
      <c r="C486" s="5" t="s">
        <v>28</v>
      </c>
      <c r="D486" s="5">
        <v>3492.82</v>
      </c>
      <c r="E486" s="5">
        <v>0.26</v>
      </c>
      <c r="F486" s="5">
        <v>9</v>
      </c>
      <c r="G486" s="7">
        <v>45203</v>
      </c>
      <c r="H486" s="7">
        <v>45205</v>
      </c>
      <c r="I486" s="5" t="s">
        <v>16</v>
      </c>
      <c r="J486" s="5" t="s">
        <v>23</v>
      </c>
      <c r="K486" s="5">
        <v>317.56</v>
      </c>
      <c r="L486" s="8" t="s">
        <v>82</v>
      </c>
    </row>
    <row r="487" spans="1:12">
      <c r="A487" s="9" t="s">
        <v>547</v>
      </c>
      <c r="B487" s="10" t="s">
        <v>20</v>
      </c>
      <c r="C487" s="10" t="s">
        <v>52</v>
      </c>
      <c r="D487" s="10">
        <v>4878</v>
      </c>
      <c r="E487" s="10">
        <v>0.28999999999999998</v>
      </c>
      <c r="F487" s="10">
        <v>5</v>
      </c>
      <c r="G487" s="12">
        <v>45370</v>
      </c>
      <c r="H487" s="12">
        <v>45373</v>
      </c>
      <c r="I487" s="10" t="s">
        <v>16</v>
      </c>
      <c r="J487" s="10" t="s">
        <v>29</v>
      </c>
      <c r="K487" s="10">
        <v>731.64</v>
      </c>
      <c r="L487" s="13" t="s">
        <v>118</v>
      </c>
    </row>
    <row r="488" spans="1:12">
      <c r="A488" s="4" t="s">
        <v>548</v>
      </c>
      <c r="B488" s="5" t="s">
        <v>27</v>
      </c>
      <c r="C488" s="5" t="s">
        <v>47</v>
      </c>
      <c r="D488" s="5">
        <v>3098.38</v>
      </c>
      <c r="E488" s="5">
        <v>0.09</v>
      </c>
      <c r="F488" s="5">
        <v>6</v>
      </c>
      <c r="G488" s="7">
        <v>45580</v>
      </c>
      <c r="H488" s="7">
        <v>45584</v>
      </c>
      <c r="I488" s="5" t="s">
        <v>16</v>
      </c>
      <c r="J488" s="5" t="s">
        <v>23</v>
      </c>
      <c r="K488" s="5">
        <v>344.48</v>
      </c>
      <c r="L488" s="8" t="s">
        <v>30</v>
      </c>
    </row>
    <row r="489" spans="1:12">
      <c r="A489" s="9" t="s">
        <v>549</v>
      </c>
      <c r="B489" s="10" t="s">
        <v>35</v>
      </c>
      <c r="C489" s="10" t="s">
        <v>28</v>
      </c>
      <c r="D489" s="10">
        <v>939.69</v>
      </c>
      <c r="E489" s="10">
        <v>0.06</v>
      </c>
      <c r="F489" s="10">
        <v>8</v>
      </c>
      <c r="G489" s="12">
        <v>45353</v>
      </c>
      <c r="H489" s="12">
        <v>45360</v>
      </c>
      <c r="I489" s="10" t="s">
        <v>42</v>
      </c>
      <c r="J489" s="10" t="s">
        <v>23</v>
      </c>
      <c r="K489" s="10">
        <v>270.99</v>
      </c>
      <c r="L489" s="13" t="s">
        <v>36</v>
      </c>
    </row>
    <row r="490" spans="1:12">
      <c r="A490" s="4" t="s">
        <v>550</v>
      </c>
      <c r="B490" s="5" t="s">
        <v>14</v>
      </c>
      <c r="C490" s="5" t="s">
        <v>28</v>
      </c>
      <c r="D490" s="5">
        <v>4979.32</v>
      </c>
      <c r="E490" s="5">
        <v>0.49</v>
      </c>
      <c r="F490" s="5">
        <v>7</v>
      </c>
      <c r="G490" s="7">
        <v>45056</v>
      </c>
      <c r="H490" s="7">
        <v>45059</v>
      </c>
      <c r="I490" s="5" t="s">
        <v>16</v>
      </c>
      <c r="J490" s="5" t="s">
        <v>23</v>
      </c>
      <c r="K490" s="5">
        <v>1091.53</v>
      </c>
      <c r="L490" s="8" t="s">
        <v>63</v>
      </c>
    </row>
    <row r="491" spans="1:12">
      <c r="A491" s="9" t="s">
        <v>551</v>
      </c>
      <c r="B491" s="10" t="s">
        <v>20</v>
      </c>
      <c r="C491" s="10" t="s">
        <v>28</v>
      </c>
      <c r="D491" s="10">
        <v>2688.79</v>
      </c>
      <c r="E491" s="10">
        <v>0.45</v>
      </c>
      <c r="F491" s="10">
        <v>7</v>
      </c>
      <c r="G491" s="12">
        <v>45222</v>
      </c>
      <c r="H491" s="12">
        <v>45229</v>
      </c>
      <c r="I491" s="10" t="s">
        <v>16</v>
      </c>
      <c r="J491" s="10" t="s">
        <v>29</v>
      </c>
      <c r="K491" s="10">
        <v>264.99</v>
      </c>
      <c r="L491" s="13" t="s">
        <v>25</v>
      </c>
    </row>
    <row r="492" spans="1:12">
      <c r="A492" s="4" t="s">
        <v>552</v>
      </c>
      <c r="B492" s="5" t="s">
        <v>27</v>
      </c>
      <c r="C492" s="5" t="s">
        <v>28</v>
      </c>
      <c r="D492" s="5">
        <v>4216.29</v>
      </c>
      <c r="E492" s="5">
        <v>0.33</v>
      </c>
      <c r="F492" s="5">
        <v>9</v>
      </c>
      <c r="G492" s="7">
        <v>45488</v>
      </c>
      <c r="H492" s="7">
        <v>45492</v>
      </c>
      <c r="I492" s="5" t="s">
        <v>42</v>
      </c>
      <c r="J492" s="5" t="s">
        <v>29</v>
      </c>
      <c r="K492" s="5">
        <v>1058.17</v>
      </c>
      <c r="L492" s="8" t="s">
        <v>36</v>
      </c>
    </row>
    <row r="493" spans="1:12">
      <c r="A493" s="9" t="s">
        <v>553</v>
      </c>
      <c r="B493" s="10" t="s">
        <v>35</v>
      </c>
      <c r="C493" s="10" t="s">
        <v>15</v>
      </c>
      <c r="D493" s="10">
        <v>831.87</v>
      </c>
      <c r="E493" s="10">
        <v>0.43</v>
      </c>
      <c r="F493" s="10">
        <v>3</v>
      </c>
      <c r="G493" s="12">
        <v>45405</v>
      </c>
      <c r="H493" s="12">
        <v>45408</v>
      </c>
      <c r="I493" s="10" t="s">
        <v>22</v>
      </c>
      <c r="J493" s="10" t="s">
        <v>29</v>
      </c>
      <c r="K493" s="10">
        <v>99.89</v>
      </c>
      <c r="L493" s="13" t="s">
        <v>59</v>
      </c>
    </row>
    <row r="494" spans="1:12">
      <c r="A494" s="4" t="s">
        <v>554</v>
      </c>
      <c r="B494" s="5" t="s">
        <v>14</v>
      </c>
      <c r="C494" s="5" t="s">
        <v>52</v>
      </c>
      <c r="D494" s="5">
        <v>3363.87</v>
      </c>
      <c r="E494" s="5">
        <v>0.05</v>
      </c>
      <c r="F494" s="5">
        <v>8</v>
      </c>
      <c r="G494" s="7">
        <v>45501</v>
      </c>
      <c r="H494" s="7">
        <v>45506</v>
      </c>
      <c r="I494" s="5" t="s">
        <v>42</v>
      </c>
      <c r="J494" s="5" t="s">
        <v>29</v>
      </c>
      <c r="K494" s="5">
        <v>840.81</v>
      </c>
      <c r="L494" s="8" t="s">
        <v>63</v>
      </c>
    </row>
    <row r="495" spans="1:12">
      <c r="A495" s="9" t="s">
        <v>555</v>
      </c>
      <c r="B495" s="10" t="s">
        <v>20</v>
      </c>
      <c r="C495" s="10" t="s">
        <v>52</v>
      </c>
      <c r="D495" s="10">
        <v>4571.83</v>
      </c>
      <c r="E495" s="10">
        <v>0.36</v>
      </c>
      <c r="F495" s="10">
        <v>6</v>
      </c>
      <c r="G495" s="12">
        <v>45036</v>
      </c>
      <c r="H495" s="12">
        <v>45039</v>
      </c>
      <c r="I495" s="10" t="s">
        <v>22</v>
      </c>
      <c r="J495" s="10" t="s">
        <v>23</v>
      </c>
      <c r="K495" s="10">
        <v>764.68</v>
      </c>
      <c r="L495" s="13" t="s">
        <v>18</v>
      </c>
    </row>
    <row r="496" spans="1:12">
      <c r="A496" s="4" t="s">
        <v>556</v>
      </c>
      <c r="B496" s="5" t="s">
        <v>27</v>
      </c>
      <c r="C496" s="5" t="s">
        <v>47</v>
      </c>
      <c r="D496" s="5">
        <v>2706.89</v>
      </c>
      <c r="E496" s="5">
        <v>0.14000000000000001</v>
      </c>
      <c r="F496" s="5">
        <v>8</v>
      </c>
      <c r="G496" s="7">
        <v>45246</v>
      </c>
      <c r="H496" s="7">
        <v>45252</v>
      </c>
      <c r="I496" s="5" t="s">
        <v>16</v>
      </c>
      <c r="J496" s="5" t="s">
        <v>29</v>
      </c>
      <c r="K496" s="5">
        <v>460.15</v>
      </c>
      <c r="L496" s="8" t="s">
        <v>24</v>
      </c>
    </row>
    <row r="497" spans="1:12">
      <c r="A497" s="9" t="s">
        <v>557</v>
      </c>
      <c r="B497" s="10" t="s">
        <v>35</v>
      </c>
      <c r="C497" s="10" t="s">
        <v>21</v>
      </c>
      <c r="D497" s="10">
        <v>1514.43</v>
      </c>
      <c r="E497" s="10">
        <v>0.27</v>
      </c>
      <c r="F497" s="10">
        <v>4</v>
      </c>
      <c r="G497" s="12">
        <v>45104</v>
      </c>
      <c r="H497" s="12">
        <v>45106</v>
      </c>
      <c r="I497" s="10" t="s">
        <v>16</v>
      </c>
      <c r="J497" s="10" t="s">
        <v>17</v>
      </c>
      <c r="K497" s="10">
        <v>220.52</v>
      </c>
      <c r="L497" s="13" t="s">
        <v>24</v>
      </c>
    </row>
    <row r="498" spans="1:12">
      <c r="A498" s="4" t="s">
        <v>558</v>
      </c>
      <c r="B498" s="5" t="s">
        <v>14</v>
      </c>
      <c r="C498" s="5" t="s">
        <v>15</v>
      </c>
      <c r="D498" s="5">
        <v>724.37</v>
      </c>
      <c r="E498" s="5">
        <v>0.38</v>
      </c>
      <c r="F498" s="5">
        <v>1</v>
      </c>
      <c r="G498" s="7">
        <v>45320</v>
      </c>
      <c r="H498" s="7">
        <v>45327</v>
      </c>
      <c r="I498" s="5" t="s">
        <v>22</v>
      </c>
      <c r="J498" s="5" t="s">
        <v>17</v>
      </c>
      <c r="K498" s="5">
        <v>80.92</v>
      </c>
      <c r="L498" s="8" t="s">
        <v>113</v>
      </c>
    </row>
    <row r="499" spans="1:12">
      <c r="A499" s="16" t="s">
        <v>559</v>
      </c>
      <c r="B499" s="17" t="s">
        <v>20</v>
      </c>
      <c r="C499" s="17" t="s">
        <v>47</v>
      </c>
      <c r="D499" s="17">
        <v>1550.13</v>
      </c>
      <c r="E499" s="17">
        <v>0.02</v>
      </c>
      <c r="F499" s="17">
        <v>3</v>
      </c>
      <c r="G499" s="19">
        <v>45170</v>
      </c>
      <c r="H499" s="19">
        <v>45172</v>
      </c>
      <c r="I499" s="17" t="s">
        <v>16</v>
      </c>
      <c r="J499" s="17" t="s">
        <v>17</v>
      </c>
      <c r="K499" s="17">
        <v>343.75</v>
      </c>
      <c r="L499" s="20" t="s">
        <v>113</v>
      </c>
    </row>
  </sheetData>
  <conditionalFormatting sqref="D1:D499">
    <cfRule type="top10" dxfId="2" priority="1" rank="10"/>
  </conditionalFormatting>
  <conditionalFormatting sqref="E1:E499">
    <cfRule type="colorScale" priority="2">
      <colorScale>
        <cfvo type="min"/>
        <cfvo type="percentile" val="50"/>
        <cfvo type="max"/>
        <color rgb="FF92D050"/>
        <color rgb="FFFFEB84"/>
        <color rgb="FFFF0000"/>
      </colorScale>
    </cfRule>
  </conditionalFormatting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"/>
  <sheetViews>
    <sheetView workbookViewId="0">
      <selection sqref="A1:L19"/>
    </sheetView>
  </sheetViews>
  <sheetFormatPr defaultColWidth="8.77734375" defaultRowHeight="14.4"/>
  <cols>
    <col min="7" max="8" width="10.77734375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>
      <c r="A2" t="s">
        <v>90</v>
      </c>
      <c r="B2" t="s">
        <v>27</v>
      </c>
      <c r="C2" t="s">
        <v>47</v>
      </c>
      <c r="D2">
        <v>667.46</v>
      </c>
      <c r="E2">
        <v>0.17</v>
      </c>
      <c r="F2">
        <v>3</v>
      </c>
      <c r="G2" s="21">
        <v>45026</v>
      </c>
      <c r="H2" s="21">
        <v>45031</v>
      </c>
      <c r="I2" t="s">
        <v>42</v>
      </c>
      <c r="J2" t="s">
        <v>23</v>
      </c>
      <c r="K2">
        <v>123.49</v>
      </c>
      <c r="L2" t="s">
        <v>56</v>
      </c>
    </row>
    <row r="3" spans="1:12">
      <c r="A3" t="s">
        <v>180</v>
      </c>
      <c r="B3" t="s">
        <v>27</v>
      </c>
      <c r="C3" t="s">
        <v>47</v>
      </c>
      <c r="D3">
        <v>1995.23</v>
      </c>
      <c r="E3">
        <v>0.37</v>
      </c>
      <c r="F3">
        <v>5</v>
      </c>
      <c r="G3" s="21">
        <v>45336</v>
      </c>
      <c r="H3" s="21">
        <v>45339</v>
      </c>
      <c r="I3" t="s">
        <v>22</v>
      </c>
      <c r="J3" t="s">
        <v>23</v>
      </c>
      <c r="K3">
        <v>274.36</v>
      </c>
      <c r="L3" t="s">
        <v>56</v>
      </c>
    </row>
    <row r="4" spans="1:12">
      <c r="A4" t="s">
        <v>212</v>
      </c>
      <c r="B4" t="s">
        <v>27</v>
      </c>
      <c r="C4" t="s">
        <v>47</v>
      </c>
      <c r="D4">
        <v>1898.45</v>
      </c>
      <c r="E4">
        <v>0.03</v>
      </c>
      <c r="F4">
        <v>2</v>
      </c>
      <c r="G4" s="21">
        <v>44982</v>
      </c>
      <c r="H4" s="21">
        <v>44987</v>
      </c>
      <c r="I4" t="s">
        <v>22</v>
      </c>
      <c r="J4" t="s">
        <v>23</v>
      </c>
      <c r="K4">
        <v>408.16</v>
      </c>
      <c r="L4" t="s">
        <v>18</v>
      </c>
    </row>
    <row r="5" spans="1:12">
      <c r="A5" t="s">
        <v>264</v>
      </c>
      <c r="B5" t="s">
        <v>27</v>
      </c>
      <c r="C5" t="s">
        <v>47</v>
      </c>
      <c r="D5">
        <v>3890.47</v>
      </c>
      <c r="E5">
        <v>0.09</v>
      </c>
      <c r="F5">
        <v>5</v>
      </c>
      <c r="G5" s="21">
        <v>45616</v>
      </c>
      <c r="H5" s="21">
        <v>45621</v>
      </c>
      <c r="I5" t="s">
        <v>22</v>
      </c>
      <c r="J5" t="s">
        <v>29</v>
      </c>
      <c r="K5">
        <v>1028.18</v>
      </c>
      <c r="L5" t="s">
        <v>24</v>
      </c>
    </row>
    <row r="6" spans="1:12">
      <c r="A6" t="s">
        <v>304</v>
      </c>
      <c r="B6" t="s">
        <v>27</v>
      </c>
      <c r="C6" t="s">
        <v>47</v>
      </c>
      <c r="D6">
        <v>4293.51</v>
      </c>
      <c r="E6">
        <v>0.15</v>
      </c>
      <c r="F6">
        <v>8</v>
      </c>
      <c r="G6" s="21">
        <v>45576</v>
      </c>
      <c r="H6" s="21">
        <v>45579</v>
      </c>
      <c r="I6" t="s">
        <v>16</v>
      </c>
      <c r="J6" t="s">
        <v>29</v>
      </c>
      <c r="K6">
        <v>1090.8399999999999</v>
      </c>
      <c r="L6" t="s">
        <v>30</v>
      </c>
    </row>
    <row r="7" spans="1:12">
      <c r="A7" t="s">
        <v>316</v>
      </c>
      <c r="B7" t="s">
        <v>27</v>
      </c>
      <c r="C7" t="s">
        <v>47</v>
      </c>
      <c r="D7">
        <v>585.57000000000005</v>
      </c>
      <c r="E7">
        <v>0.34</v>
      </c>
      <c r="F7">
        <v>8</v>
      </c>
      <c r="G7" s="21">
        <v>45318</v>
      </c>
      <c r="H7" s="21">
        <v>45321</v>
      </c>
      <c r="I7" t="s">
        <v>16</v>
      </c>
      <c r="J7" t="s">
        <v>29</v>
      </c>
      <c r="K7">
        <v>51.66</v>
      </c>
      <c r="L7" t="s">
        <v>82</v>
      </c>
    </row>
    <row r="8" spans="1:12">
      <c r="A8" t="s">
        <v>344</v>
      </c>
      <c r="B8" t="s">
        <v>27</v>
      </c>
      <c r="C8" t="s">
        <v>47</v>
      </c>
      <c r="D8">
        <v>4455.97</v>
      </c>
      <c r="E8">
        <v>0.08</v>
      </c>
      <c r="F8">
        <v>4</v>
      </c>
      <c r="G8" s="21">
        <v>45564</v>
      </c>
      <c r="H8" s="21">
        <v>45570</v>
      </c>
      <c r="I8" t="s">
        <v>16</v>
      </c>
      <c r="J8" t="s">
        <v>29</v>
      </c>
      <c r="K8">
        <v>1118.01</v>
      </c>
      <c r="L8" t="s">
        <v>30</v>
      </c>
    </row>
    <row r="9" spans="1:12">
      <c r="A9" t="s">
        <v>364</v>
      </c>
      <c r="B9" t="s">
        <v>27</v>
      </c>
      <c r="C9" t="s">
        <v>47</v>
      </c>
      <c r="D9">
        <v>1768.7</v>
      </c>
      <c r="E9">
        <v>0.12</v>
      </c>
      <c r="F9">
        <v>7</v>
      </c>
      <c r="G9" s="21">
        <v>45528</v>
      </c>
      <c r="H9" s="21">
        <v>45535</v>
      </c>
      <c r="I9" t="s">
        <v>42</v>
      </c>
      <c r="J9" t="s">
        <v>29</v>
      </c>
      <c r="K9">
        <v>125.52</v>
      </c>
      <c r="L9" t="s">
        <v>30</v>
      </c>
    </row>
    <row r="10" spans="1:12">
      <c r="A10" t="s">
        <v>384</v>
      </c>
      <c r="B10" t="s">
        <v>27</v>
      </c>
      <c r="C10" t="s">
        <v>47</v>
      </c>
      <c r="D10">
        <v>4383.43</v>
      </c>
      <c r="E10">
        <v>0.44</v>
      </c>
      <c r="F10">
        <v>9</v>
      </c>
      <c r="G10" s="21">
        <v>45307</v>
      </c>
      <c r="H10" s="21">
        <v>45311</v>
      </c>
      <c r="I10" t="s">
        <v>16</v>
      </c>
      <c r="J10" t="s">
        <v>29</v>
      </c>
      <c r="K10">
        <v>761.11</v>
      </c>
      <c r="L10" t="s">
        <v>56</v>
      </c>
    </row>
    <row r="11" spans="1:12">
      <c r="A11" t="s">
        <v>396</v>
      </c>
      <c r="B11" t="s">
        <v>27</v>
      </c>
      <c r="C11" t="s">
        <v>47</v>
      </c>
      <c r="D11">
        <v>1733.76</v>
      </c>
      <c r="E11">
        <v>0.09</v>
      </c>
      <c r="F11">
        <v>8</v>
      </c>
      <c r="G11" s="21">
        <v>44934</v>
      </c>
      <c r="H11" s="21">
        <v>44938</v>
      </c>
      <c r="I11" t="s">
        <v>22</v>
      </c>
      <c r="J11" t="s">
        <v>23</v>
      </c>
      <c r="K11">
        <v>117.57</v>
      </c>
      <c r="L11" t="s">
        <v>82</v>
      </c>
    </row>
    <row r="12" spans="1:12">
      <c r="A12" t="s">
        <v>400</v>
      </c>
      <c r="B12" t="s">
        <v>27</v>
      </c>
      <c r="C12" t="s">
        <v>47</v>
      </c>
      <c r="D12">
        <v>1433.56</v>
      </c>
      <c r="E12">
        <v>0.31</v>
      </c>
      <c r="F12">
        <v>5</v>
      </c>
      <c r="G12" s="21">
        <v>45563</v>
      </c>
      <c r="H12" s="21">
        <v>45569</v>
      </c>
      <c r="I12" t="s">
        <v>22</v>
      </c>
      <c r="J12" t="s">
        <v>23</v>
      </c>
      <c r="K12">
        <v>310.11</v>
      </c>
      <c r="L12" t="s">
        <v>30</v>
      </c>
    </row>
    <row r="13" spans="1:12">
      <c r="A13" t="s">
        <v>456</v>
      </c>
      <c r="B13" t="s">
        <v>27</v>
      </c>
      <c r="C13" t="s">
        <v>47</v>
      </c>
      <c r="D13">
        <v>4282.3</v>
      </c>
      <c r="E13">
        <v>0.26</v>
      </c>
      <c r="F13">
        <v>5</v>
      </c>
      <c r="G13" s="21">
        <v>44949</v>
      </c>
      <c r="H13" s="21">
        <v>44956</v>
      </c>
      <c r="I13" t="s">
        <v>22</v>
      </c>
      <c r="J13" t="s">
        <v>23</v>
      </c>
      <c r="K13">
        <v>275.87</v>
      </c>
      <c r="L13" t="s">
        <v>36</v>
      </c>
    </row>
    <row r="14" spans="1:12">
      <c r="A14" t="s">
        <v>468</v>
      </c>
      <c r="B14" t="s">
        <v>27</v>
      </c>
      <c r="C14" t="s">
        <v>47</v>
      </c>
      <c r="D14">
        <v>2577.34</v>
      </c>
      <c r="E14">
        <v>0.06</v>
      </c>
      <c r="F14">
        <v>7</v>
      </c>
      <c r="G14" s="21">
        <v>44945</v>
      </c>
      <c r="H14" s="21">
        <v>44946</v>
      </c>
      <c r="I14" t="s">
        <v>42</v>
      </c>
      <c r="J14" t="s">
        <v>23</v>
      </c>
      <c r="K14">
        <v>658.39</v>
      </c>
      <c r="L14" t="s">
        <v>82</v>
      </c>
    </row>
    <row r="15" spans="1:12">
      <c r="A15" t="s">
        <v>476</v>
      </c>
      <c r="B15" t="s">
        <v>27</v>
      </c>
      <c r="C15" t="s">
        <v>47</v>
      </c>
      <c r="D15">
        <v>4434.3900000000003</v>
      </c>
      <c r="E15">
        <v>0.18</v>
      </c>
      <c r="F15">
        <v>1</v>
      </c>
      <c r="G15" s="21">
        <v>45290</v>
      </c>
      <c r="H15" s="21">
        <v>45296</v>
      </c>
      <c r="I15" t="s">
        <v>42</v>
      </c>
      <c r="J15" t="s">
        <v>23</v>
      </c>
      <c r="K15">
        <v>1318.47</v>
      </c>
      <c r="L15" t="s">
        <v>30</v>
      </c>
    </row>
    <row r="16" spans="1:12">
      <c r="A16" t="s">
        <v>540</v>
      </c>
      <c r="B16" t="s">
        <v>27</v>
      </c>
      <c r="C16" t="s">
        <v>47</v>
      </c>
      <c r="D16">
        <v>2408.4499999999998</v>
      </c>
      <c r="E16">
        <v>0.31</v>
      </c>
      <c r="F16">
        <v>2</v>
      </c>
      <c r="G16" s="21">
        <v>45584</v>
      </c>
      <c r="H16" s="21">
        <v>45586</v>
      </c>
      <c r="I16" t="s">
        <v>16</v>
      </c>
      <c r="J16" t="s">
        <v>29</v>
      </c>
      <c r="K16">
        <v>485.96</v>
      </c>
      <c r="L16" t="s">
        <v>56</v>
      </c>
    </row>
    <row r="17" spans="1:12">
      <c r="A17" t="s">
        <v>544</v>
      </c>
      <c r="B17" t="s">
        <v>27</v>
      </c>
      <c r="C17" t="s">
        <v>47</v>
      </c>
      <c r="D17">
        <v>4304.7700000000004</v>
      </c>
      <c r="E17">
        <v>0.3</v>
      </c>
      <c r="F17">
        <v>2</v>
      </c>
      <c r="G17" s="21">
        <v>45491</v>
      </c>
      <c r="H17" s="21">
        <v>45492</v>
      </c>
      <c r="I17" t="s">
        <v>42</v>
      </c>
      <c r="J17" t="s">
        <v>29</v>
      </c>
      <c r="K17">
        <v>336.04</v>
      </c>
      <c r="L17" t="s">
        <v>82</v>
      </c>
    </row>
    <row r="18" spans="1:12">
      <c r="A18" t="s">
        <v>548</v>
      </c>
      <c r="B18" t="s">
        <v>27</v>
      </c>
      <c r="C18" t="s">
        <v>47</v>
      </c>
      <c r="D18">
        <v>3098.38</v>
      </c>
      <c r="E18">
        <v>0.09</v>
      </c>
      <c r="F18">
        <v>6</v>
      </c>
      <c r="G18" s="21">
        <v>45580</v>
      </c>
      <c r="H18" s="21">
        <v>45584</v>
      </c>
      <c r="I18" t="s">
        <v>16</v>
      </c>
      <c r="J18" t="s">
        <v>23</v>
      </c>
      <c r="K18">
        <v>344.48</v>
      </c>
      <c r="L18" t="s">
        <v>30</v>
      </c>
    </row>
    <row r="19" spans="1:12">
      <c r="A19" t="s">
        <v>556</v>
      </c>
      <c r="B19" t="s">
        <v>27</v>
      </c>
      <c r="C19" t="s">
        <v>47</v>
      </c>
      <c r="D19">
        <v>2706.89</v>
      </c>
      <c r="E19">
        <v>0.14000000000000001</v>
      </c>
      <c r="F19">
        <v>8</v>
      </c>
      <c r="G19" s="21">
        <v>45246</v>
      </c>
      <c r="H19" s="21">
        <v>45252</v>
      </c>
      <c r="I19" t="s">
        <v>16</v>
      </c>
      <c r="J19" t="s">
        <v>29</v>
      </c>
      <c r="K19">
        <v>460.15</v>
      </c>
      <c r="L19" t="s">
        <v>24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8"/>
  <sheetViews>
    <sheetView workbookViewId="0">
      <selection activeCell="D11" sqref="D11"/>
    </sheetView>
  </sheetViews>
  <sheetFormatPr defaultColWidth="8.77734375" defaultRowHeight="14.4"/>
  <cols>
    <col min="1" max="1" width="11.77734375"/>
    <col min="2" max="2" width="13.21875"/>
    <col min="3" max="5" width="10.44140625"/>
    <col min="6" max="6" width="11.5546875"/>
    <col min="7" max="7" width="11.33203125"/>
  </cols>
  <sheetData>
    <row r="3" spans="1:2">
      <c r="A3" t="s">
        <v>1</v>
      </c>
      <c r="B3" t="s">
        <v>590</v>
      </c>
    </row>
    <row r="4" spans="1:2">
      <c r="A4" t="s">
        <v>20</v>
      </c>
      <c r="B4">
        <v>346200.07</v>
      </c>
    </row>
    <row r="5" spans="1:2">
      <c r="A5" t="s">
        <v>14</v>
      </c>
      <c r="B5">
        <v>337881.27</v>
      </c>
    </row>
    <row r="6" spans="1:2">
      <c r="A6" t="s">
        <v>35</v>
      </c>
      <c r="B6">
        <v>303623.69</v>
      </c>
    </row>
    <row r="7" spans="1:2">
      <c r="A7" t="s">
        <v>27</v>
      </c>
      <c r="B7">
        <v>334964.15999999997</v>
      </c>
    </row>
    <row r="8" spans="1:2">
      <c r="A8" t="s">
        <v>591</v>
      </c>
      <c r="B8">
        <v>1322669.19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9"/>
  <sheetViews>
    <sheetView workbookViewId="0">
      <selection activeCell="B6" sqref="B6"/>
    </sheetView>
  </sheetViews>
  <sheetFormatPr defaultColWidth="8.77734375" defaultRowHeight="14.4"/>
  <cols>
    <col min="1" max="1" width="13.44140625"/>
    <col min="2" max="2" width="13.21875"/>
  </cols>
  <sheetData>
    <row r="3" spans="1:2">
      <c r="A3" t="s">
        <v>2</v>
      </c>
      <c r="B3" t="s">
        <v>590</v>
      </c>
    </row>
    <row r="4" spans="1:2">
      <c r="A4" t="s">
        <v>15</v>
      </c>
      <c r="B4">
        <v>271524.96999999997</v>
      </c>
    </row>
    <row r="5" spans="1:2">
      <c r="A5" t="s">
        <v>21</v>
      </c>
      <c r="B5">
        <v>259449.31</v>
      </c>
    </row>
    <row r="6" spans="1:2">
      <c r="A6" t="s">
        <v>47</v>
      </c>
      <c r="B6">
        <v>257979.89</v>
      </c>
    </row>
    <row r="7" spans="1:2">
      <c r="A7" t="s">
        <v>28</v>
      </c>
      <c r="B7">
        <v>265206.67</v>
      </c>
    </row>
    <row r="8" spans="1:2">
      <c r="A8" t="s">
        <v>52</v>
      </c>
      <c r="B8">
        <v>268508.34999999998</v>
      </c>
    </row>
    <row r="9" spans="1:2">
      <c r="A9" t="s">
        <v>591</v>
      </c>
      <c r="B9">
        <v>1322669.19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16"/>
  <sheetViews>
    <sheetView workbookViewId="0">
      <selection activeCell="A4" sqref="A4:A15"/>
      <pivotSelection pane="bottomRight" showHeader="1" extendable="1" axis="axisRow" activeRow="6" previousRow="6" click="1" r:id="rId1">
        <pivotArea dataOnly="0" labelOnly="1" fieldPosition="0">
          <references count="1">
            <reference field="6" count="0"/>
          </references>
        </pivotArea>
      </pivotSelection>
    </sheetView>
  </sheetViews>
  <sheetFormatPr defaultColWidth="8.77734375" defaultRowHeight="14.4"/>
  <cols>
    <col min="1" max="2" width="13.21875"/>
  </cols>
  <sheetData>
    <row r="3" spans="1:2">
      <c r="A3" t="s">
        <v>6</v>
      </c>
      <c r="B3" t="s">
        <v>590</v>
      </c>
    </row>
    <row r="4" spans="1:2">
      <c r="A4" t="s">
        <v>561</v>
      </c>
      <c r="B4">
        <v>133553.84</v>
      </c>
    </row>
    <row r="5" spans="1:2">
      <c r="A5" t="s">
        <v>564</v>
      </c>
      <c r="B5">
        <v>82277.13</v>
      </c>
    </row>
    <row r="6" spans="1:2">
      <c r="A6" t="s">
        <v>567</v>
      </c>
      <c r="B6">
        <v>106656.15</v>
      </c>
    </row>
    <row r="7" spans="1:2">
      <c r="A7" t="s">
        <v>570</v>
      </c>
      <c r="B7">
        <v>82346.5</v>
      </c>
    </row>
    <row r="8" spans="1:2">
      <c r="A8" t="s">
        <v>573</v>
      </c>
      <c r="B8">
        <v>117889.8</v>
      </c>
    </row>
    <row r="9" spans="1:2">
      <c r="A9" t="s">
        <v>575</v>
      </c>
      <c r="B9">
        <v>82903.33</v>
      </c>
    </row>
    <row r="10" spans="1:2">
      <c r="A10" t="s">
        <v>578</v>
      </c>
      <c r="B10">
        <v>161413.91</v>
      </c>
    </row>
    <row r="11" spans="1:2">
      <c r="A11" t="s">
        <v>580</v>
      </c>
      <c r="B11">
        <v>93960.21</v>
      </c>
    </row>
    <row r="12" spans="1:2">
      <c r="A12" t="s">
        <v>582</v>
      </c>
      <c r="B12">
        <v>125097.32</v>
      </c>
    </row>
    <row r="13" spans="1:2">
      <c r="A13" t="s">
        <v>584</v>
      </c>
      <c r="B13">
        <v>125035.74</v>
      </c>
    </row>
    <row r="14" spans="1:2">
      <c r="A14" t="s">
        <v>586</v>
      </c>
      <c r="B14">
        <v>75579.240000000005</v>
      </c>
    </row>
    <row r="15" spans="1:2">
      <c r="A15" t="s">
        <v>588</v>
      </c>
      <c r="B15">
        <v>135956.01999999999</v>
      </c>
    </row>
    <row r="16" spans="1:2">
      <c r="A16" t="s">
        <v>591</v>
      </c>
      <c r="B16">
        <v>1322669.19</v>
      </c>
    </row>
  </sheetData>
  <conditionalFormatting sqref="B4:B15">
    <cfRule type="cellIs" dxfId="1" priority="1" operator="greaterThan">
      <formula>100000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99"/>
  <sheetViews>
    <sheetView topLeftCell="G1" workbookViewId="0">
      <selection activeCell="G2" sqref="G2"/>
    </sheetView>
  </sheetViews>
  <sheetFormatPr defaultColWidth="8.77734375" defaultRowHeight="14.4"/>
  <cols>
    <col min="17" max="17" width="10.44140625"/>
  </cols>
  <sheetData>
    <row r="1" spans="1:17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592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2" t="s">
        <v>11</v>
      </c>
    </row>
    <row r="2" spans="1:17">
      <c r="A2" s="4" t="s">
        <v>13</v>
      </c>
      <c r="B2" s="5" t="s">
        <v>14</v>
      </c>
      <c r="C2" s="5" t="s">
        <v>15</v>
      </c>
      <c r="D2" s="5">
        <v>713.49</v>
      </c>
      <c r="E2" s="5">
        <v>0.31</v>
      </c>
      <c r="F2" s="5">
        <v>3</v>
      </c>
      <c r="G2" s="6" t="str">
        <f t="shared" ref="G2:G65" si="0">TEXT(H2,"mmmm")</f>
        <v>March</v>
      </c>
      <c r="H2" s="7">
        <v>45015</v>
      </c>
      <c r="I2" s="7">
        <v>45017</v>
      </c>
      <c r="J2" s="5" t="s">
        <v>16</v>
      </c>
      <c r="K2" s="5" t="s">
        <v>17</v>
      </c>
      <c r="L2" s="5">
        <v>114.72</v>
      </c>
      <c r="M2" s="8" t="s">
        <v>18</v>
      </c>
      <c r="O2" t="str">
        <f>CHOOSE(MONTH(H2),"January","February","March","April","May","June","July","August","September","October","November","December")</f>
        <v>March</v>
      </c>
    </row>
    <row r="3" spans="1:17">
      <c r="A3" s="9" t="s">
        <v>19</v>
      </c>
      <c r="B3" s="10" t="s">
        <v>20</v>
      </c>
      <c r="C3" s="10" t="s">
        <v>21</v>
      </c>
      <c r="D3" s="10">
        <v>3802.97</v>
      </c>
      <c r="E3" s="10">
        <v>0.38</v>
      </c>
      <c r="F3" s="10">
        <v>4</v>
      </c>
      <c r="G3" s="11" t="str">
        <f t="shared" si="0"/>
        <v>August</v>
      </c>
      <c r="H3" s="12">
        <v>45166</v>
      </c>
      <c r="I3" s="12">
        <v>45172</v>
      </c>
      <c r="J3" s="10" t="s">
        <v>22</v>
      </c>
      <c r="K3" s="10" t="s">
        <v>23</v>
      </c>
      <c r="L3" s="10">
        <v>971.41</v>
      </c>
      <c r="M3" s="13" t="s">
        <v>24</v>
      </c>
    </row>
    <row r="4" spans="1:17">
      <c r="A4" s="4" t="s">
        <v>26</v>
      </c>
      <c r="B4" s="5" t="s">
        <v>27</v>
      </c>
      <c r="C4" s="5" t="s">
        <v>28</v>
      </c>
      <c r="D4" s="5">
        <v>3588.97</v>
      </c>
      <c r="E4" s="5">
        <v>0.1</v>
      </c>
      <c r="F4" s="5">
        <v>7</v>
      </c>
      <c r="G4" s="6" t="str">
        <f t="shared" si="0"/>
        <v>March</v>
      </c>
      <c r="H4" s="7">
        <v>45360</v>
      </c>
      <c r="I4" s="7">
        <v>45366</v>
      </c>
      <c r="J4" s="5" t="s">
        <v>22</v>
      </c>
      <c r="K4" s="5" t="s">
        <v>29</v>
      </c>
      <c r="L4" s="5">
        <v>769.08</v>
      </c>
      <c r="M4" s="8" t="s">
        <v>30</v>
      </c>
    </row>
    <row r="5" spans="1:17">
      <c r="A5" s="9" t="s">
        <v>34</v>
      </c>
      <c r="B5" s="10" t="s">
        <v>35</v>
      </c>
      <c r="C5" s="10" t="s">
        <v>21</v>
      </c>
      <c r="D5" s="10">
        <v>1160.8599999999999</v>
      </c>
      <c r="E5" s="10">
        <v>0.27</v>
      </c>
      <c r="F5" s="10">
        <v>5</v>
      </c>
      <c r="G5" s="11" t="str">
        <f t="shared" si="0"/>
        <v>October</v>
      </c>
      <c r="H5" s="12">
        <v>45578</v>
      </c>
      <c r="I5" s="12">
        <v>45584</v>
      </c>
      <c r="J5" s="10" t="s">
        <v>16</v>
      </c>
      <c r="K5" s="10" t="s">
        <v>17</v>
      </c>
      <c r="L5" s="10">
        <v>71.61</v>
      </c>
      <c r="M5" s="14" t="s">
        <v>36</v>
      </c>
    </row>
    <row r="6" spans="1:17">
      <c r="A6" s="4" t="s">
        <v>41</v>
      </c>
      <c r="B6" s="5" t="s">
        <v>14</v>
      </c>
      <c r="C6" s="5" t="s">
        <v>21</v>
      </c>
      <c r="D6" s="5">
        <v>3071.32</v>
      </c>
      <c r="E6" s="5">
        <v>0</v>
      </c>
      <c r="F6" s="5">
        <v>7</v>
      </c>
      <c r="G6" s="6" t="str">
        <f t="shared" si="0"/>
        <v>April</v>
      </c>
      <c r="H6" s="7">
        <v>45022</v>
      </c>
      <c r="I6" s="7">
        <v>45025</v>
      </c>
      <c r="J6" s="5" t="s">
        <v>42</v>
      </c>
      <c r="K6" s="5" t="s">
        <v>29</v>
      </c>
      <c r="L6" s="5">
        <v>621.91999999999996</v>
      </c>
      <c r="M6" s="8" t="s">
        <v>18</v>
      </c>
    </row>
    <row r="7" spans="1:17">
      <c r="A7" s="9" t="s">
        <v>46</v>
      </c>
      <c r="B7" s="10" t="s">
        <v>20</v>
      </c>
      <c r="C7" s="10" t="s">
        <v>47</v>
      </c>
      <c r="D7" s="10">
        <v>2566.1799999999998</v>
      </c>
      <c r="E7" s="10">
        <v>0.02</v>
      </c>
      <c r="F7" s="10">
        <v>6</v>
      </c>
      <c r="G7" s="11" t="str">
        <f t="shared" si="0"/>
        <v>July</v>
      </c>
      <c r="H7" s="12">
        <v>45108</v>
      </c>
      <c r="I7" s="12">
        <v>45111</v>
      </c>
      <c r="J7" s="10" t="s">
        <v>16</v>
      </c>
      <c r="K7" s="10" t="s">
        <v>17</v>
      </c>
      <c r="L7" s="10">
        <v>578.94000000000005</v>
      </c>
      <c r="M7" s="13" t="s">
        <v>37</v>
      </c>
      <c r="P7" t="str" cm="1">
        <f t="array" ref="P7:P10">_xlfn.UNIQUE(B2:B499)</f>
        <v>East</v>
      </c>
      <c r="Q7">
        <f>SUMIF($B$2:$B$499,P7,$D$2:$D$499)</f>
        <v>337881.27</v>
      </c>
    </row>
    <row r="8" spans="1:17">
      <c r="A8" s="4" t="s">
        <v>51</v>
      </c>
      <c r="B8" s="5" t="s">
        <v>27</v>
      </c>
      <c r="C8" s="5" t="s">
        <v>52</v>
      </c>
      <c r="D8" s="5">
        <v>398</v>
      </c>
      <c r="E8" s="5">
        <v>0.16</v>
      </c>
      <c r="F8" s="5">
        <v>4</v>
      </c>
      <c r="G8" s="6" t="str">
        <f t="shared" si="0"/>
        <v>July</v>
      </c>
      <c r="H8" s="7">
        <v>45119</v>
      </c>
      <c r="I8" s="7">
        <v>45124</v>
      </c>
      <c r="J8" s="5" t="s">
        <v>42</v>
      </c>
      <c r="K8" s="5" t="s">
        <v>29</v>
      </c>
      <c r="L8" s="5">
        <v>110.31</v>
      </c>
      <c r="M8" s="8" t="s">
        <v>18</v>
      </c>
      <c r="P8" t="str">
        <v>West</v>
      </c>
      <c r="Q8">
        <f>SUMIF($B$2:$B$499,P8,$D$2:$D$499)</f>
        <v>346200.07</v>
      </c>
    </row>
    <row r="9" spans="1:17">
      <c r="A9" s="9" t="s">
        <v>53</v>
      </c>
      <c r="B9" s="10" t="s">
        <v>35</v>
      </c>
      <c r="C9" s="10" t="s">
        <v>52</v>
      </c>
      <c r="D9" s="10">
        <v>1462.95</v>
      </c>
      <c r="E9" s="10">
        <v>0.23</v>
      </c>
      <c r="F9" s="10">
        <v>2</v>
      </c>
      <c r="G9" s="11" t="str">
        <f t="shared" si="0"/>
        <v>May</v>
      </c>
      <c r="H9" s="12">
        <v>45064</v>
      </c>
      <c r="I9" s="12">
        <v>45066</v>
      </c>
      <c r="J9" s="10" t="s">
        <v>22</v>
      </c>
      <c r="K9" s="10" t="s">
        <v>17</v>
      </c>
      <c r="L9" s="10">
        <v>91.68</v>
      </c>
      <c r="M9" s="13" t="s">
        <v>54</v>
      </c>
      <c r="P9" t="str">
        <v>North</v>
      </c>
      <c r="Q9">
        <f>SUMIF($B$2:$B$499,P9,$D$2:$D$499)</f>
        <v>334964.15999999997</v>
      </c>
    </row>
    <row r="10" spans="1:17">
      <c r="A10" s="4" t="s">
        <v>55</v>
      </c>
      <c r="B10" s="5" t="s">
        <v>14</v>
      </c>
      <c r="C10" s="5" t="s">
        <v>52</v>
      </c>
      <c r="D10" s="5">
        <v>4997.47</v>
      </c>
      <c r="E10" s="5">
        <v>0.28999999999999998</v>
      </c>
      <c r="F10" s="5">
        <v>6</v>
      </c>
      <c r="G10" s="6" t="str">
        <f t="shared" si="0"/>
        <v>January</v>
      </c>
      <c r="H10" s="15">
        <v>45296</v>
      </c>
      <c r="I10" s="7">
        <v>45299</v>
      </c>
      <c r="J10" s="5" t="s">
        <v>22</v>
      </c>
      <c r="K10" s="5" t="s">
        <v>23</v>
      </c>
      <c r="L10" s="5">
        <v>995.78</v>
      </c>
      <c r="M10" s="8" t="s">
        <v>56</v>
      </c>
      <c r="P10" t="str">
        <v>South</v>
      </c>
      <c r="Q10">
        <f>SUMIF($B$2:$B$499,P10,$D$2:$D$499)</f>
        <v>303623.69</v>
      </c>
    </row>
    <row r="11" spans="1:17">
      <c r="A11" s="9" t="s">
        <v>57</v>
      </c>
      <c r="B11" s="10" t="s">
        <v>20</v>
      </c>
      <c r="C11" s="10" t="s">
        <v>47</v>
      </c>
      <c r="D11" s="10">
        <v>587.72</v>
      </c>
      <c r="E11" s="10">
        <v>0.44</v>
      </c>
      <c r="F11" s="10">
        <v>6</v>
      </c>
      <c r="G11" s="11" t="str">
        <f t="shared" si="0"/>
        <v>August</v>
      </c>
      <c r="H11" s="12">
        <v>45514</v>
      </c>
      <c r="I11" s="12">
        <v>45521</v>
      </c>
      <c r="J11" s="10" t="s">
        <v>42</v>
      </c>
      <c r="K11" s="10" t="s">
        <v>29</v>
      </c>
      <c r="L11" s="10">
        <v>102.96</v>
      </c>
      <c r="M11" s="13" t="s">
        <v>24</v>
      </c>
    </row>
    <row r="12" spans="1:17">
      <c r="A12" s="4" t="s">
        <v>58</v>
      </c>
      <c r="B12" s="5" t="s">
        <v>27</v>
      </c>
      <c r="C12" s="5" t="s">
        <v>15</v>
      </c>
      <c r="D12" s="5">
        <v>2581.42</v>
      </c>
      <c r="E12" s="5">
        <v>0.39</v>
      </c>
      <c r="F12" s="5">
        <v>6</v>
      </c>
      <c r="G12" s="6" t="str">
        <f t="shared" si="0"/>
        <v>May</v>
      </c>
      <c r="H12" s="7">
        <v>45419</v>
      </c>
      <c r="I12" s="7">
        <v>45420</v>
      </c>
      <c r="J12" s="5" t="s">
        <v>22</v>
      </c>
      <c r="K12" s="5" t="s">
        <v>29</v>
      </c>
      <c r="L12" s="5">
        <v>542.82000000000005</v>
      </c>
      <c r="M12" s="8" t="s">
        <v>59</v>
      </c>
    </row>
    <row r="13" spans="1:17">
      <c r="A13" s="9" t="s">
        <v>60</v>
      </c>
      <c r="B13" s="10" t="s">
        <v>35</v>
      </c>
      <c r="C13" s="10" t="s">
        <v>15</v>
      </c>
      <c r="D13" s="10">
        <v>4261.74</v>
      </c>
      <c r="E13" s="10">
        <v>0.15</v>
      </c>
      <c r="F13" s="10">
        <v>1</v>
      </c>
      <c r="G13" s="11" t="str">
        <f t="shared" si="0"/>
        <v>September</v>
      </c>
      <c r="H13" s="12">
        <v>45171</v>
      </c>
      <c r="I13" s="12">
        <v>45172</v>
      </c>
      <c r="J13" s="10" t="s">
        <v>42</v>
      </c>
      <c r="K13" s="10" t="s">
        <v>17</v>
      </c>
      <c r="L13" s="10">
        <v>1028.47</v>
      </c>
      <c r="M13" s="13" t="s">
        <v>56</v>
      </c>
    </row>
    <row r="14" spans="1:17">
      <c r="A14" s="4" t="s">
        <v>61</v>
      </c>
      <c r="B14" s="5" t="s">
        <v>14</v>
      </c>
      <c r="C14" s="5" t="s">
        <v>28</v>
      </c>
      <c r="D14" s="5">
        <v>1573.19</v>
      </c>
      <c r="E14" s="5">
        <v>0.37</v>
      </c>
      <c r="F14" s="5">
        <v>6</v>
      </c>
      <c r="G14" s="6" t="str">
        <f t="shared" si="0"/>
        <v>February</v>
      </c>
      <c r="H14" s="7">
        <v>45331</v>
      </c>
      <c r="I14" s="7">
        <v>45338</v>
      </c>
      <c r="J14" s="5" t="s">
        <v>42</v>
      </c>
      <c r="K14" s="5" t="s">
        <v>29</v>
      </c>
      <c r="L14" s="5">
        <v>131.5</v>
      </c>
      <c r="M14" s="8" t="s">
        <v>36</v>
      </c>
    </row>
    <row r="15" spans="1:17">
      <c r="A15" s="9" t="s">
        <v>62</v>
      </c>
      <c r="B15" s="10" t="s">
        <v>20</v>
      </c>
      <c r="C15" s="10" t="s">
        <v>15</v>
      </c>
      <c r="D15" s="10">
        <v>1377.47</v>
      </c>
      <c r="E15" s="10">
        <v>0.27</v>
      </c>
      <c r="F15" s="10">
        <v>2</v>
      </c>
      <c r="G15" s="11" t="str">
        <f t="shared" si="0"/>
        <v>May</v>
      </c>
      <c r="H15" s="12">
        <v>45074</v>
      </c>
      <c r="I15" s="12">
        <v>45075</v>
      </c>
      <c r="J15" s="10" t="s">
        <v>16</v>
      </c>
      <c r="K15" s="10" t="s">
        <v>29</v>
      </c>
      <c r="L15" s="10">
        <v>255.49</v>
      </c>
      <c r="M15" s="13" t="s">
        <v>63</v>
      </c>
    </row>
    <row r="16" spans="1:17">
      <c r="A16" s="4" t="s">
        <v>65</v>
      </c>
      <c r="B16" s="5" t="s">
        <v>27</v>
      </c>
      <c r="C16" s="5" t="s">
        <v>15</v>
      </c>
      <c r="D16" s="5">
        <v>4464.8900000000003</v>
      </c>
      <c r="E16" s="5">
        <v>0.39</v>
      </c>
      <c r="F16" s="5">
        <v>5</v>
      </c>
      <c r="G16" s="6" t="str">
        <f t="shared" si="0"/>
        <v>January</v>
      </c>
      <c r="H16" s="7">
        <v>45296</v>
      </c>
      <c r="I16" s="7">
        <v>45303</v>
      </c>
      <c r="J16" s="5" t="s">
        <v>22</v>
      </c>
      <c r="K16" s="5" t="s">
        <v>17</v>
      </c>
      <c r="L16" s="5">
        <v>804.36</v>
      </c>
      <c r="M16" s="8" t="s">
        <v>54</v>
      </c>
    </row>
    <row r="17" spans="1:13">
      <c r="A17" s="9" t="s">
        <v>67</v>
      </c>
      <c r="B17" s="10" t="s">
        <v>35</v>
      </c>
      <c r="C17" s="10" t="s">
        <v>52</v>
      </c>
      <c r="D17" s="10">
        <v>1593.67</v>
      </c>
      <c r="E17" s="10">
        <v>0.21</v>
      </c>
      <c r="F17" s="10">
        <v>7</v>
      </c>
      <c r="G17" s="11" t="str">
        <f t="shared" si="0"/>
        <v>October</v>
      </c>
      <c r="H17" s="12">
        <v>45583</v>
      </c>
      <c r="I17" s="12">
        <v>45587</v>
      </c>
      <c r="J17" s="10" t="s">
        <v>16</v>
      </c>
      <c r="K17" s="10" t="s">
        <v>23</v>
      </c>
      <c r="L17" s="10">
        <v>284.91000000000003</v>
      </c>
      <c r="M17" s="13" t="s">
        <v>56</v>
      </c>
    </row>
    <row r="18" spans="1:13">
      <c r="A18" s="4" t="s">
        <v>69</v>
      </c>
      <c r="B18" s="5" t="s">
        <v>14</v>
      </c>
      <c r="C18" s="5" t="s">
        <v>21</v>
      </c>
      <c r="D18" s="5">
        <v>3292.32</v>
      </c>
      <c r="E18" s="5">
        <v>0.05</v>
      </c>
      <c r="F18" s="5">
        <v>1</v>
      </c>
      <c r="G18" s="6" t="str">
        <f t="shared" si="0"/>
        <v>April</v>
      </c>
      <c r="H18" s="7">
        <v>45042</v>
      </c>
      <c r="I18" s="7">
        <v>45043</v>
      </c>
      <c r="J18" s="5" t="s">
        <v>16</v>
      </c>
      <c r="K18" s="5" t="s">
        <v>23</v>
      </c>
      <c r="L18" s="5">
        <v>504.83</v>
      </c>
      <c r="M18" s="8" t="s">
        <v>70</v>
      </c>
    </row>
    <row r="19" spans="1:13">
      <c r="A19" s="9" t="s">
        <v>72</v>
      </c>
      <c r="B19" s="10" t="s">
        <v>20</v>
      </c>
      <c r="C19" s="10" t="s">
        <v>15</v>
      </c>
      <c r="D19" s="10">
        <v>3727.53</v>
      </c>
      <c r="E19" s="10">
        <v>0.31</v>
      </c>
      <c r="F19" s="10">
        <v>5</v>
      </c>
      <c r="G19" s="11" t="str">
        <f t="shared" si="0"/>
        <v>October</v>
      </c>
      <c r="H19" s="12">
        <v>45228</v>
      </c>
      <c r="I19" s="12">
        <v>45235</v>
      </c>
      <c r="J19" s="10" t="s">
        <v>22</v>
      </c>
      <c r="K19" s="10" t="s">
        <v>23</v>
      </c>
      <c r="L19" s="10">
        <v>978.07</v>
      </c>
      <c r="M19" s="13" t="s">
        <v>59</v>
      </c>
    </row>
    <row r="20" spans="1:13">
      <c r="A20" s="4" t="s">
        <v>73</v>
      </c>
      <c r="B20" s="5" t="s">
        <v>27</v>
      </c>
      <c r="C20" s="5" t="s">
        <v>15</v>
      </c>
      <c r="D20" s="5">
        <v>3964.23</v>
      </c>
      <c r="E20" s="5">
        <v>0.28000000000000003</v>
      </c>
      <c r="F20" s="5">
        <v>9</v>
      </c>
      <c r="G20" s="6" t="str">
        <f t="shared" si="0"/>
        <v>June</v>
      </c>
      <c r="H20" s="7">
        <v>45448</v>
      </c>
      <c r="I20" s="7">
        <v>45451</v>
      </c>
      <c r="J20" s="5" t="s">
        <v>16</v>
      </c>
      <c r="K20" s="5" t="s">
        <v>17</v>
      </c>
      <c r="L20" s="5">
        <v>260.95</v>
      </c>
      <c r="M20" s="8" t="s">
        <v>74</v>
      </c>
    </row>
    <row r="21" spans="1:13">
      <c r="A21" s="9" t="s">
        <v>75</v>
      </c>
      <c r="B21" s="10" t="s">
        <v>35</v>
      </c>
      <c r="C21" s="10" t="s">
        <v>47</v>
      </c>
      <c r="D21" s="10">
        <v>4974.32</v>
      </c>
      <c r="E21" s="10">
        <v>0.48</v>
      </c>
      <c r="F21" s="10">
        <v>3</v>
      </c>
      <c r="G21" s="11" t="str">
        <f t="shared" si="0"/>
        <v>May</v>
      </c>
      <c r="H21" s="12">
        <v>45047</v>
      </c>
      <c r="I21" s="12">
        <v>45051</v>
      </c>
      <c r="J21" s="10" t="s">
        <v>22</v>
      </c>
      <c r="K21" s="10" t="s">
        <v>23</v>
      </c>
      <c r="L21" s="10">
        <v>727.29</v>
      </c>
      <c r="M21" s="13" t="s">
        <v>54</v>
      </c>
    </row>
    <row r="22" spans="1:13">
      <c r="A22" s="4" t="s">
        <v>76</v>
      </c>
      <c r="B22" s="5" t="s">
        <v>14</v>
      </c>
      <c r="C22" s="5" t="s">
        <v>28</v>
      </c>
      <c r="D22" s="5">
        <v>4035.64</v>
      </c>
      <c r="E22" s="5">
        <v>0.08</v>
      </c>
      <c r="F22" s="5">
        <v>2</v>
      </c>
      <c r="G22" s="6" t="str">
        <f t="shared" si="0"/>
        <v>October</v>
      </c>
      <c r="H22" s="7">
        <v>45586</v>
      </c>
      <c r="I22" s="7">
        <v>45593</v>
      </c>
      <c r="J22" s="5" t="s">
        <v>22</v>
      </c>
      <c r="K22" s="5" t="s">
        <v>29</v>
      </c>
      <c r="L22" s="5">
        <v>798.81</v>
      </c>
      <c r="M22" s="8" t="s">
        <v>77</v>
      </c>
    </row>
    <row r="23" spans="1:13">
      <c r="A23" s="9" t="s">
        <v>78</v>
      </c>
      <c r="B23" s="10" t="s">
        <v>20</v>
      </c>
      <c r="C23" s="10" t="s">
        <v>47</v>
      </c>
      <c r="D23" s="10">
        <v>3319.36</v>
      </c>
      <c r="E23" s="10">
        <v>0.33</v>
      </c>
      <c r="F23" s="10">
        <v>2</v>
      </c>
      <c r="G23" s="11" t="str">
        <f t="shared" si="0"/>
        <v>August</v>
      </c>
      <c r="H23" s="12">
        <v>45153</v>
      </c>
      <c r="I23" s="12">
        <v>45159</v>
      </c>
      <c r="J23" s="10" t="s">
        <v>16</v>
      </c>
      <c r="K23" s="10" t="s">
        <v>29</v>
      </c>
      <c r="L23" s="10">
        <v>920.22</v>
      </c>
      <c r="M23" s="13" t="s">
        <v>54</v>
      </c>
    </row>
    <row r="24" spans="1:13">
      <c r="A24" s="4" t="s">
        <v>79</v>
      </c>
      <c r="B24" s="5" t="s">
        <v>27</v>
      </c>
      <c r="C24" s="5" t="s">
        <v>52</v>
      </c>
      <c r="D24" s="5">
        <v>4487.7700000000004</v>
      </c>
      <c r="E24" s="5">
        <v>0.24</v>
      </c>
      <c r="F24" s="5">
        <v>3</v>
      </c>
      <c r="G24" s="6" t="str">
        <f t="shared" si="0"/>
        <v>December</v>
      </c>
      <c r="H24" s="7">
        <v>45657</v>
      </c>
      <c r="I24" s="7">
        <v>45659</v>
      </c>
      <c r="J24" s="5" t="s">
        <v>22</v>
      </c>
      <c r="K24" s="5" t="s">
        <v>23</v>
      </c>
      <c r="L24" s="5">
        <v>931.37</v>
      </c>
      <c r="M24" s="8" t="s">
        <v>56</v>
      </c>
    </row>
    <row r="25" spans="1:13">
      <c r="A25" s="9" t="s">
        <v>80</v>
      </c>
      <c r="B25" s="10" t="s">
        <v>35</v>
      </c>
      <c r="C25" s="10" t="s">
        <v>21</v>
      </c>
      <c r="D25" s="10">
        <v>4538.1499999999996</v>
      </c>
      <c r="E25" s="10">
        <v>0.19</v>
      </c>
      <c r="F25" s="10">
        <v>1</v>
      </c>
      <c r="G25" s="11" t="str">
        <f t="shared" si="0"/>
        <v>March</v>
      </c>
      <c r="H25" s="12">
        <v>45005</v>
      </c>
      <c r="I25" s="12">
        <v>45008</v>
      </c>
      <c r="J25" s="10" t="s">
        <v>22</v>
      </c>
      <c r="K25" s="10" t="s">
        <v>29</v>
      </c>
      <c r="L25" s="10">
        <v>375.7</v>
      </c>
      <c r="M25" s="13" t="s">
        <v>37</v>
      </c>
    </row>
    <row r="26" spans="1:13">
      <c r="A26" s="4" t="s">
        <v>81</v>
      </c>
      <c r="B26" s="5" t="s">
        <v>14</v>
      </c>
      <c r="C26" s="5" t="s">
        <v>28</v>
      </c>
      <c r="D26" s="5">
        <v>4868.5200000000004</v>
      </c>
      <c r="E26" s="5">
        <v>0.4</v>
      </c>
      <c r="F26" s="5">
        <v>2</v>
      </c>
      <c r="G26" s="6" t="str">
        <f t="shared" si="0"/>
        <v>December</v>
      </c>
      <c r="H26" s="7">
        <v>45272</v>
      </c>
      <c r="I26" s="7">
        <v>45273</v>
      </c>
      <c r="J26" s="5" t="s">
        <v>22</v>
      </c>
      <c r="K26" s="5" t="s">
        <v>29</v>
      </c>
      <c r="L26" s="5">
        <v>1072.26</v>
      </c>
      <c r="M26" s="8" t="s">
        <v>82</v>
      </c>
    </row>
    <row r="27" spans="1:13">
      <c r="A27" s="9" t="s">
        <v>83</v>
      </c>
      <c r="B27" s="10" t="s">
        <v>20</v>
      </c>
      <c r="C27" s="10" t="s">
        <v>47</v>
      </c>
      <c r="D27" s="10">
        <v>3904.68</v>
      </c>
      <c r="E27" s="10">
        <v>0.41</v>
      </c>
      <c r="F27" s="10">
        <v>6</v>
      </c>
      <c r="G27" s="11" t="str">
        <f t="shared" si="0"/>
        <v>May</v>
      </c>
      <c r="H27" s="12">
        <v>45066</v>
      </c>
      <c r="I27" s="12">
        <v>45072</v>
      </c>
      <c r="J27" s="10" t="s">
        <v>22</v>
      </c>
      <c r="K27" s="10" t="s">
        <v>23</v>
      </c>
      <c r="L27" s="10">
        <v>526.66</v>
      </c>
      <c r="M27" s="13" t="s">
        <v>84</v>
      </c>
    </row>
    <row r="28" spans="1:13">
      <c r="A28" s="4" t="s">
        <v>85</v>
      </c>
      <c r="B28" s="5" t="s">
        <v>27</v>
      </c>
      <c r="C28" s="5" t="s">
        <v>15</v>
      </c>
      <c r="D28" s="5">
        <v>1055.1400000000001</v>
      </c>
      <c r="E28" s="5">
        <v>0.36</v>
      </c>
      <c r="F28" s="5">
        <v>8</v>
      </c>
      <c r="G28" s="6" t="str">
        <f t="shared" si="0"/>
        <v>June</v>
      </c>
      <c r="H28" s="7">
        <v>45462</v>
      </c>
      <c r="I28" s="7">
        <v>45468</v>
      </c>
      <c r="J28" s="5" t="s">
        <v>16</v>
      </c>
      <c r="K28" s="5" t="s">
        <v>17</v>
      </c>
      <c r="L28" s="5">
        <v>207.61</v>
      </c>
      <c r="M28" s="8" t="s">
        <v>77</v>
      </c>
    </row>
    <row r="29" spans="1:13">
      <c r="A29" s="9" t="s">
        <v>86</v>
      </c>
      <c r="B29" s="10" t="s">
        <v>35</v>
      </c>
      <c r="C29" s="10" t="s">
        <v>15</v>
      </c>
      <c r="D29" s="10">
        <v>3578.05</v>
      </c>
      <c r="E29" s="10">
        <v>0.04</v>
      </c>
      <c r="F29" s="10">
        <v>4</v>
      </c>
      <c r="G29" s="11" t="str">
        <f t="shared" si="0"/>
        <v>October</v>
      </c>
      <c r="H29" s="12">
        <v>45215</v>
      </c>
      <c r="I29" s="12">
        <v>45217</v>
      </c>
      <c r="J29" s="10" t="s">
        <v>42</v>
      </c>
      <c r="K29" s="10" t="s">
        <v>23</v>
      </c>
      <c r="L29" s="10">
        <v>689.74</v>
      </c>
      <c r="M29" s="13" t="s">
        <v>87</v>
      </c>
    </row>
    <row r="30" spans="1:13">
      <c r="A30" s="4" t="s">
        <v>88</v>
      </c>
      <c r="B30" s="5" t="s">
        <v>14</v>
      </c>
      <c r="C30" s="5" t="s">
        <v>28</v>
      </c>
      <c r="D30" s="5">
        <v>468.13</v>
      </c>
      <c r="E30" s="5">
        <v>0.17</v>
      </c>
      <c r="F30" s="5">
        <v>2</v>
      </c>
      <c r="G30" s="6" t="str">
        <f t="shared" si="0"/>
        <v>November</v>
      </c>
      <c r="H30" s="7">
        <v>45255</v>
      </c>
      <c r="I30" s="7">
        <v>45261</v>
      </c>
      <c r="J30" s="5" t="s">
        <v>16</v>
      </c>
      <c r="K30" s="5" t="s">
        <v>17</v>
      </c>
      <c r="L30" s="5">
        <v>43.58</v>
      </c>
      <c r="M30" s="8" t="s">
        <v>56</v>
      </c>
    </row>
    <row r="31" spans="1:13">
      <c r="A31" s="9" t="s">
        <v>89</v>
      </c>
      <c r="B31" s="10" t="s">
        <v>20</v>
      </c>
      <c r="C31" s="10" t="s">
        <v>15</v>
      </c>
      <c r="D31" s="10">
        <v>1658.02</v>
      </c>
      <c r="E31" s="10">
        <v>0.02</v>
      </c>
      <c r="F31" s="10">
        <v>5</v>
      </c>
      <c r="G31" s="11" t="str">
        <f t="shared" si="0"/>
        <v>March</v>
      </c>
      <c r="H31" s="12">
        <v>45356</v>
      </c>
      <c r="I31" s="12">
        <v>45357</v>
      </c>
      <c r="J31" s="10" t="s">
        <v>42</v>
      </c>
      <c r="K31" s="10" t="s">
        <v>29</v>
      </c>
      <c r="L31" s="10">
        <v>422.33</v>
      </c>
      <c r="M31" s="13" t="s">
        <v>37</v>
      </c>
    </row>
    <row r="32" spans="1:13">
      <c r="A32" s="4" t="s">
        <v>90</v>
      </c>
      <c r="B32" s="5" t="s">
        <v>27</v>
      </c>
      <c r="C32" s="5" t="s">
        <v>47</v>
      </c>
      <c r="D32" s="5">
        <v>667.46</v>
      </c>
      <c r="E32" s="5">
        <v>0.17</v>
      </c>
      <c r="F32" s="5">
        <v>3</v>
      </c>
      <c r="G32" s="6" t="str">
        <f t="shared" si="0"/>
        <v>April</v>
      </c>
      <c r="H32" s="7">
        <v>45026</v>
      </c>
      <c r="I32" s="7">
        <v>45031</v>
      </c>
      <c r="J32" s="5" t="s">
        <v>42</v>
      </c>
      <c r="K32" s="5" t="s">
        <v>23</v>
      </c>
      <c r="L32" s="5">
        <v>123.49</v>
      </c>
      <c r="M32" s="8" t="s">
        <v>87</v>
      </c>
    </row>
    <row r="33" spans="1:13">
      <c r="A33" s="9" t="s">
        <v>91</v>
      </c>
      <c r="B33" s="10" t="s">
        <v>35</v>
      </c>
      <c r="C33" s="10" t="s">
        <v>47</v>
      </c>
      <c r="D33" s="10">
        <v>4754.72</v>
      </c>
      <c r="E33" s="10">
        <v>0.32</v>
      </c>
      <c r="F33" s="10">
        <v>5</v>
      </c>
      <c r="G33" s="11" t="str">
        <f t="shared" si="0"/>
        <v>August</v>
      </c>
      <c r="H33" s="12">
        <v>45527</v>
      </c>
      <c r="I33" s="12">
        <v>45531</v>
      </c>
      <c r="J33" s="10" t="s">
        <v>42</v>
      </c>
      <c r="K33" s="10" t="s">
        <v>29</v>
      </c>
      <c r="L33" s="10">
        <v>697.03</v>
      </c>
      <c r="M33" s="13" t="s">
        <v>18</v>
      </c>
    </row>
    <row r="34" spans="1:13">
      <c r="A34" s="4" t="s">
        <v>92</v>
      </c>
      <c r="B34" s="5" t="s">
        <v>14</v>
      </c>
      <c r="C34" s="5" t="s">
        <v>15</v>
      </c>
      <c r="D34" s="5">
        <v>1759.9</v>
      </c>
      <c r="E34" s="5">
        <v>0.26</v>
      </c>
      <c r="F34" s="5">
        <v>3</v>
      </c>
      <c r="G34" s="6" t="str">
        <f t="shared" si="0"/>
        <v>January</v>
      </c>
      <c r="H34" s="7">
        <v>44933</v>
      </c>
      <c r="I34" s="7">
        <v>44939</v>
      </c>
      <c r="J34" s="5" t="s">
        <v>22</v>
      </c>
      <c r="K34" s="5" t="s">
        <v>29</v>
      </c>
      <c r="L34" s="5">
        <v>178.58</v>
      </c>
      <c r="M34" s="8" t="s">
        <v>74</v>
      </c>
    </row>
    <row r="35" spans="1:13">
      <c r="A35" s="9" t="s">
        <v>93</v>
      </c>
      <c r="B35" s="10" t="s">
        <v>20</v>
      </c>
      <c r="C35" s="10" t="s">
        <v>15</v>
      </c>
      <c r="D35" s="10">
        <v>3594.76</v>
      </c>
      <c r="E35" s="10">
        <v>0.35</v>
      </c>
      <c r="F35" s="10">
        <v>4</v>
      </c>
      <c r="G35" s="11" t="str">
        <f t="shared" si="0"/>
        <v>June</v>
      </c>
      <c r="H35" s="12">
        <v>45097</v>
      </c>
      <c r="I35" s="12">
        <v>45099</v>
      </c>
      <c r="J35" s="10" t="s">
        <v>42</v>
      </c>
      <c r="K35" s="10" t="s">
        <v>17</v>
      </c>
      <c r="L35" s="10">
        <v>1002.97</v>
      </c>
      <c r="M35" s="13" t="s">
        <v>30</v>
      </c>
    </row>
    <row r="36" spans="1:13">
      <c r="A36" s="4" t="s">
        <v>94</v>
      </c>
      <c r="B36" s="5" t="s">
        <v>27</v>
      </c>
      <c r="C36" s="5" t="s">
        <v>52</v>
      </c>
      <c r="D36" s="5">
        <v>2899.46</v>
      </c>
      <c r="E36" s="5">
        <v>0.28000000000000003</v>
      </c>
      <c r="F36" s="5">
        <v>5</v>
      </c>
      <c r="G36" s="6" t="str">
        <f t="shared" si="0"/>
        <v>September</v>
      </c>
      <c r="H36" s="7">
        <v>45189</v>
      </c>
      <c r="I36" s="7">
        <v>45190</v>
      </c>
      <c r="J36" s="5" t="s">
        <v>22</v>
      </c>
      <c r="K36" s="5" t="s">
        <v>29</v>
      </c>
      <c r="L36" s="5">
        <v>320.43</v>
      </c>
      <c r="M36" s="8" t="s">
        <v>18</v>
      </c>
    </row>
    <row r="37" spans="1:13">
      <c r="A37" s="9" t="s">
        <v>95</v>
      </c>
      <c r="B37" s="10" t="s">
        <v>35</v>
      </c>
      <c r="C37" s="10" t="s">
        <v>21</v>
      </c>
      <c r="D37" s="10">
        <v>626.80999999999995</v>
      </c>
      <c r="E37" s="10">
        <v>0.28000000000000003</v>
      </c>
      <c r="F37" s="10">
        <v>7</v>
      </c>
      <c r="G37" s="11" t="str">
        <f t="shared" si="0"/>
        <v>January</v>
      </c>
      <c r="H37" s="12">
        <v>45298</v>
      </c>
      <c r="I37" s="12">
        <v>45303</v>
      </c>
      <c r="J37" s="10" t="s">
        <v>22</v>
      </c>
      <c r="K37" s="10" t="s">
        <v>17</v>
      </c>
      <c r="L37" s="10">
        <v>177.84</v>
      </c>
      <c r="M37" s="13" t="s">
        <v>74</v>
      </c>
    </row>
    <row r="38" spans="1:13">
      <c r="A38" s="4" t="s">
        <v>96</v>
      </c>
      <c r="B38" s="5" t="s">
        <v>14</v>
      </c>
      <c r="C38" s="5" t="s">
        <v>28</v>
      </c>
      <c r="D38" s="5">
        <v>2850.59</v>
      </c>
      <c r="E38" s="5">
        <v>0.26</v>
      </c>
      <c r="F38" s="5">
        <v>2</v>
      </c>
      <c r="G38" s="6" t="str">
        <f t="shared" si="0"/>
        <v>June</v>
      </c>
      <c r="H38" s="7">
        <v>45470</v>
      </c>
      <c r="I38" s="7">
        <v>45474</v>
      </c>
      <c r="J38" s="5" t="s">
        <v>22</v>
      </c>
      <c r="K38" s="5" t="s">
        <v>23</v>
      </c>
      <c r="L38" s="5">
        <v>528.38</v>
      </c>
      <c r="M38" s="8" t="s">
        <v>18</v>
      </c>
    </row>
    <row r="39" spans="1:13">
      <c r="A39" s="9" t="s">
        <v>97</v>
      </c>
      <c r="B39" s="10" t="s">
        <v>20</v>
      </c>
      <c r="C39" s="10" t="s">
        <v>47</v>
      </c>
      <c r="D39" s="10">
        <v>3339.02</v>
      </c>
      <c r="E39" s="10">
        <v>0.18</v>
      </c>
      <c r="F39" s="10">
        <v>6</v>
      </c>
      <c r="G39" s="11" t="str">
        <f t="shared" si="0"/>
        <v>December</v>
      </c>
      <c r="H39" s="12">
        <v>45651</v>
      </c>
      <c r="I39" s="12">
        <v>45652</v>
      </c>
      <c r="J39" s="10" t="s">
        <v>16</v>
      </c>
      <c r="K39" s="10" t="s">
        <v>29</v>
      </c>
      <c r="L39" s="10">
        <v>586.69000000000005</v>
      </c>
      <c r="M39" s="13" t="s">
        <v>25</v>
      </c>
    </row>
    <row r="40" spans="1:13">
      <c r="A40" s="4" t="s">
        <v>98</v>
      </c>
      <c r="B40" s="5" t="s">
        <v>27</v>
      </c>
      <c r="C40" s="5" t="s">
        <v>28</v>
      </c>
      <c r="D40" s="5">
        <v>4419.43</v>
      </c>
      <c r="E40" s="5">
        <v>0.22</v>
      </c>
      <c r="F40" s="5">
        <v>6</v>
      </c>
      <c r="G40" s="6" t="str">
        <f t="shared" si="0"/>
        <v>May</v>
      </c>
      <c r="H40" s="7">
        <v>45423</v>
      </c>
      <c r="I40" s="7">
        <v>45426</v>
      </c>
      <c r="J40" s="5" t="s">
        <v>42</v>
      </c>
      <c r="K40" s="5" t="s">
        <v>17</v>
      </c>
      <c r="L40" s="5">
        <v>742.22</v>
      </c>
      <c r="M40" s="8" t="s">
        <v>37</v>
      </c>
    </row>
    <row r="41" spans="1:13">
      <c r="A41" s="9" t="s">
        <v>99</v>
      </c>
      <c r="B41" s="10" t="s">
        <v>35</v>
      </c>
      <c r="C41" s="10" t="s">
        <v>52</v>
      </c>
      <c r="D41" s="10">
        <v>443.42</v>
      </c>
      <c r="E41" s="10">
        <v>0.06</v>
      </c>
      <c r="F41" s="10">
        <v>6</v>
      </c>
      <c r="G41" s="11" t="str">
        <f t="shared" si="0"/>
        <v>February</v>
      </c>
      <c r="H41" s="12">
        <v>44985</v>
      </c>
      <c r="I41" s="12">
        <v>44990</v>
      </c>
      <c r="J41" s="10" t="s">
        <v>16</v>
      </c>
      <c r="K41" s="10" t="s">
        <v>23</v>
      </c>
      <c r="L41" s="10">
        <v>119.91</v>
      </c>
      <c r="M41" s="13" t="s">
        <v>54</v>
      </c>
    </row>
    <row r="42" spans="1:13">
      <c r="A42" s="4" t="s">
        <v>100</v>
      </c>
      <c r="B42" s="5" t="s">
        <v>14</v>
      </c>
      <c r="C42" s="5" t="s">
        <v>47</v>
      </c>
      <c r="D42" s="5">
        <v>1548.61</v>
      </c>
      <c r="E42" s="5">
        <v>0.42</v>
      </c>
      <c r="F42" s="5">
        <v>7</v>
      </c>
      <c r="G42" s="6" t="str">
        <f t="shared" si="0"/>
        <v>December</v>
      </c>
      <c r="H42" s="7">
        <v>45261</v>
      </c>
      <c r="I42" s="7">
        <v>45263</v>
      </c>
      <c r="J42" s="5" t="s">
        <v>22</v>
      </c>
      <c r="K42" s="5" t="s">
        <v>29</v>
      </c>
      <c r="L42" s="5">
        <v>392.57</v>
      </c>
      <c r="M42" s="8" t="s">
        <v>25</v>
      </c>
    </row>
    <row r="43" spans="1:13">
      <c r="A43" s="9" t="s">
        <v>101</v>
      </c>
      <c r="B43" s="10" t="s">
        <v>20</v>
      </c>
      <c r="C43" s="10" t="s">
        <v>52</v>
      </c>
      <c r="D43" s="10">
        <v>3492.47</v>
      </c>
      <c r="E43" s="10">
        <v>0.44</v>
      </c>
      <c r="F43" s="10">
        <v>3</v>
      </c>
      <c r="G43" s="11" t="str">
        <f t="shared" si="0"/>
        <v>January</v>
      </c>
      <c r="H43" s="12">
        <v>44956</v>
      </c>
      <c r="I43" s="12">
        <v>44957</v>
      </c>
      <c r="J43" s="10" t="s">
        <v>16</v>
      </c>
      <c r="K43" s="10" t="s">
        <v>23</v>
      </c>
      <c r="L43" s="10">
        <v>765.08</v>
      </c>
      <c r="M43" s="13" t="s">
        <v>87</v>
      </c>
    </row>
    <row r="44" spans="1:13">
      <c r="A44" s="4" t="s">
        <v>102</v>
      </c>
      <c r="B44" s="5" t="s">
        <v>27</v>
      </c>
      <c r="C44" s="5" t="s">
        <v>52</v>
      </c>
      <c r="D44" s="5">
        <v>268.23</v>
      </c>
      <c r="E44" s="5">
        <v>0.38</v>
      </c>
      <c r="F44" s="5">
        <v>5</v>
      </c>
      <c r="G44" s="6" t="str">
        <f t="shared" si="0"/>
        <v>September</v>
      </c>
      <c r="H44" s="7">
        <v>45186</v>
      </c>
      <c r="I44" s="7">
        <v>45188</v>
      </c>
      <c r="J44" s="5" t="s">
        <v>22</v>
      </c>
      <c r="K44" s="5" t="s">
        <v>29</v>
      </c>
      <c r="L44" s="5">
        <v>48.54</v>
      </c>
      <c r="M44" s="8" t="s">
        <v>87</v>
      </c>
    </row>
    <row r="45" spans="1:13">
      <c r="A45" s="9" t="s">
        <v>103</v>
      </c>
      <c r="B45" s="10" t="s">
        <v>35</v>
      </c>
      <c r="C45" s="10" t="s">
        <v>15</v>
      </c>
      <c r="D45" s="10">
        <v>1097.4100000000001</v>
      </c>
      <c r="E45" s="10">
        <v>0.28999999999999998</v>
      </c>
      <c r="F45" s="10">
        <v>9</v>
      </c>
      <c r="G45" s="11" t="str">
        <f t="shared" si="0"/>
        <v>June</v>
      </c>
      <c r="H45" s="12">
        <v>45472</v>
      </c>
      <c r="I45" s="12">
        <v>45475</v>
      </c>
      <c r="J45" s="10" t="s">
        <v>16</v>
      </c>
      <c r="K45" s="10" t="s">
        <v>29</v>
      </c>
      <c r="L45" s="10">
        <v>235.05</v>
      </c>
      <c r="M45" s="13" t="s">
        <v>56</v>
      </c>
    </row>
    <row r="46" spans="1:13">
      <c r="A46" s="4" t="s">
        <v>104</v>
      </c>
      <c r="B46" s="5" t="s">
        <v>14</v>
      </c>
      <c r="C46" s="5" t="s">
        <v>28</v>
      </c>
      <c r="D46" s="5">
        <v>1171.48</v>
      </c>
      <c r="E46" s="5">
        <v>0.28000000000000003</v>
      </c>
      <c r="F46" s="5">
        <v>9</v>
      </c>
      <c r="G46" s="6" t="str">
        <f t="shared" si="0"/>
        <v>May</v>
      </c>
      <c r="H46" s="7">
        <v>45063</v>
      </c>
      <c r="I46" s="7">
        <v>45065</v>
      </c>
      <c r="J46" s="5" t="s">
        <v>22</v>
      </c>
      <c r="K46" s="5" t="s">
        <v>23</v>
      </c>
      <c r="L46" s="5">
        <v>129.80000000000001</v>
      </c>
      <c r="M46" s="8" t="s">
        <v>56</v>
      </c>
    </row>
    <row r="47" spans="1:13">
      <c r="A47" s="9" t="s">
        <v>105</v>
      </c>
      <c r="B47" s="10" t="s">
        <v>20</v>
      </c>
      <c r="C47" s="10" t="s">
        <v>28</v>
      </c>
      <c r="D47" s="10">
        <v>3379.7</v>
      </c>
      <c r="E47" s="10">
        <v>0.24</v>
      </c>
      <c r="F47" s="10">
        <v>7</v>
      </c>
      <c r="G47" s="11" t="str">
        <f t="shared" si="0"/>
        <v>November</v>
      </c>
      <c r="H47" s="12">
        <v>45242</v>
      </c>
      <c r="I47" s="12">
        <v>45247</v>
      </c>
      <c r="J47" s="10" t="s">
        <v>22</v>
      </c>
      <c r="K47" s="10" t="s">
        <v>29</v>
      </c>
      <c r="L47" s="10">
        <v>588.79</v>
      </c>
      <c r="M47" s="13" t="s">
        <v>18</v>
      </c>
    </row>
    <row r="48" spans="1:13">
      <c r="A48" s="4" t="s">
        <v>106</v>
      </c>
      <c r="B48" s="5" t="s">
        <v>27</v>
      </c>
      <c r="C48" s="5" t="s">
        <v>15</v>
      </c>
      <c r="D48" s="5">
        <v>1501.21</v>
      </c>
      <c r="E48" s="5">
        <v>0.12</v>
      </c>
      <c r="F48" s="5">
        <v>9</v>
      </c>
      <c r="G48" s="6" t="str">
        <f t="shared" si="0"/>
        <v>April</v>
      </c>
      <c r="H48" s="7">
        <v>45386</v>
      </c>
      <c r="I48" s="7">
        <v>45390</v>
      </c>
      <c r="J48" s="5" t="s">
        <v>16</v>
      </c>
      <c r="K48" s="5" t="s">
        <v>23</v>
      </c>
      <c r="L48" s="5">
        <v>127.89</v>
      </c>
      <c r="M48" s="8" t="s">
        <v>70</v>
      </c>
    </row>
    <row r="49" spans="1:13">
      <c r="A49" s="9" t="s">
        <v>107</v>
      </c>
      <c r="B49" s="10" t="s">
        <v>35</v>
      </c>
      <c r="C49" s="10" t="s">
        <v>28</v>
      </c>
      <c r="D49" s="10">
        <v>3038.02</v>
      </c>
      <c r="E49" s="10">
        <v>0.19</v>
      </c>
      <c r="F49" s="10">
        <v>3</v>
      </c>
      <c r="G49" s="11" t="str">
        <f t="shared" si="0"/>
        <v>February</v>
      </c>
      <c r="H49" s="12">
        <v>45334</v>
      </c>
      <c r="I49" s="12">
        <v>45341</v>
      </c>
      <c r="J49" s="10" t="s">
        <v>22</v>
      </c>
      <c r="K49" s="10" t="s">
        <v>29</v>
      </c>
      <c r="L49" s="10">
        <v>249.34</v>
      </c>
      <c r="M49" s="13" t="s">
        <v>36</v>
      </c>
    </row>
    <row r="50" spans="1:13">
      <c r="A50" s="4" t="s">
        <v>108</v>
      </c>
      <c r="B50" s="5" t="s">
        <v>14</v>
      </c>
      <c r="C50" s="5" t="s">
        <v>15</v>
      </c>
      <c r="D50" s="5">
        <v>4830.21</v>
      </c>
      <c r="E50" s="5">
        <v>0.49</v>
      </c>
      <c r="F50" s="5">
        <v>7</v>
      </c>
      <c r="G50" s="6" t="str">
        <f t="shared" si="0"/>
        <v>September</v>
      </c>
      <c r="H50" s="7">
        <v>45553</v>
      </c>
      <c r="I50" s="7">
        <v>45560</v>
      </c>
      <c r="J50" s="5" t="s">
        <v>42</v>
      </c>
      <c r="K50" s="5" t="s">
        <v>29</v>
      </c>
      <c r="L50" s="5">
        <v>1097.26</v>
      </c>
      <c r="M50" s="8" t="s">
        <v>77</v>
      </c>
    </row>
    <row r="51" spans="1:13">
      <c r="A51" s="9" t="s">
        <v>109</v>
      </c>
      <c r="B51" s="10" t="s">
        <v>20</v>
      </c>
      <c r="C51" s="10" t="s">
        <v>47</v>
      </c>
      <c r="D51" s="10">
        <v>3986.89</v>
      </c>
      <c r="E51" s="10">
        <v>7.0000000000000007E-2</v>
      </c>
      <c r="F51" s="10">
        <v>1</v>
      </c>
      <c r="G51" s="11" t="str">
        <f t="shared" si="0"/>
        <v>July</v>
      </c>
      <c r="H51" s="12">
        <v>45109</v>
      </c>
      <c r="I51" s="12">
        <v>45110</v>
      </c>
      <c r="J51" s="10" t="s">
        <v>16</v>
      </c>
      <c r="K51" s="10" t="s">
        <v>29</v>
      </c>
      <c r="L51" s="10">
        <v>1139.21</v>
      </c>
      <c r="M51" s="13" t="s">
        <v>54</v>
      </c>
    </row>
    <row r="52" spans="1:13">
      <c r="A52" s="4" t="s">
        <v>110</v>
      </c>
      <c r="B52" s="5" t="s">
        <v>27</v>
      </c>
      <c r="C52" s="5" t="s">
        <v>52</v>
      </c>
      <c r="D52" s="5">
        <v>1731.22</v>
      </c>
      <c r="E52" s="5">
        <v>0.27</v>
      </c>
      <c r="F52" s="5">
        <v>7</v>
      </c>
      <c r="G52" s="6" t="str">
        <f t="shared" si="0"/>
        <v>September</v>
      </c>
      <c r="H52" s="7">
        <v>45173</v>
      </c>
      <c r="I52" s="7">
        <v>45180</v>
      </c>
      <c r="J52" s="5" t="s">
        <v>16</v>
      </c>
      <c r="K52" s="5" t="s">
        <v>17</v>
      </c>
      <c r="L52" s="5">
        <v>433.9</v>
      </c>
      <c r="M52" s="8" t="s">
        <v>30</v>
      </c>
    </row>
    <row r="53" spans="1:13">
      <c r="A53" s="9" t="s">
        <v>111</v>
      </c>
      <c r="B53" s="10" t="s">
        <v>35</v>
      </c>
      <c r="C53" s="10" t="s">
        <v>52</v>
      </c>
      <c r="D53" s="10">
        <v>2414.7600000000002</v>
      </c>
      <c r="E53" s="10">
        <v>0.43</v>
      </c>
      <c r="F53" s="10">
        <v>3</v>
      </c>
      <c r="G53" s="11" t="str">
        <f t="shared" si="0"/>
        <v>January</v>
      </c>
      <c r="H53" s="12">
        <v>44955</v>
      </c>
      <c r="I53" s="12">
        <v>44961</v>
      </c>
      <c r="J53" s="10" t="s">
        <v>22</v>
      </c>
      <c r="K53" s="10" t="s">
        <v>29</v>
      </c>
      <c r="L53" s="10">
        <v>687.58</v>
      </c>
      <c r="M53" s="13" t="s">
        <v>24</v>
      </c>
    </row>
    <row r="54" spans="1:13">
      <c r="A54" s="4" t="s">
        <v>112</v>
      </c>
      <c r="B54" s="5" t="s">
        <v>14</v>
      </c>
      <c r="C54" s="5" t="s">
        <v>28</v>
      </c>
      <c r="D54" s="5">
        <v>1083.3</v>
      </c>
      <c r="E54" s="5">
        <v>0.23</v>
      </c>
      <c r="F54" s="5">
        <v>3</v>
      </c>
      <c r="G54" s="6" t="str">
        <f t="shared" si="0"/>
        <v>November</v>
      </c>
      <c r="H54" s="7">
        <v>45236</v>
      </c>
      <c r="I54" s="7">
        <v>45240</v>
      </c>
      <c r="J54" s="5" t="s">
        <v>16</v>
      </c>
      <c r="K54" s="5" t="s">
        <v>29</v>
      </c>
      <c r="L54" s="5">
        <v>114.25</v>
      </c>
      <c r="M54" s="8" t="s">
        <v>113</v>
      </c>
    </row>
    <row r="55" spans="1:13">
      <c r="A55" s="9" t="s">
        <v>114</v>
      </c>
      <c r="B55" s="10" t="s">
        <v>20</v>
      </c>
      <c r="C55" s="10" t="s">
        <v>21</v>
      </c>
      <c r="D55" s="10">
        <v>177.03</v>
      </c>
      <c r="E55" s="10">
        <v>0.3</v>
      </c>
      <c r="F55" s="10">
        <v>7</v>
      </c>
      <c r="G55" s="11" t="str">
        <f t="shared" si="0"/>
        <v>June</v>
      </c>
      <c r="H55" s="12">
        <v>45105</v>
      </c>
      <c r="I55" s="12">
        <v>45106</v>
      </c>
      <c r="J55" s="10" t="s">
        <v>42</v>
      </c>
      <c r="K55" s="10" t="s">
        <v>17</v>
      </c>
      <c r="L55" s="10">
        <v>20.43</v>
      </c>
      <c r="M55" s="13" t="s">
        <v>54</v>
      </c>
    </row>
    <row r="56" spans="1:13">
      <c r="A56" s="4" t="s">
        <v>115</v>
      </c>
      <c r="B56" s="5" t="s">
        <v>27</v>
      </c>
      <c r="C56" s="5" t="s">
        <v>52</v>
      </c>
      <c r="D56" s="5">
        <v>1519.61</v>
      </c>
      <c r="E56" s="5">
        <v>0.41</v>
      </c>
      <c r="F56" s="5">
        <v>8</v>
      </c>
      <c r="G56" s="6" t="str">
        <f t="shared" si="0"/>
        <v>May</v>
      </c>
      <c r="H56" s="7">
        <v>45431</v>
      </c>
      <c r="I56" s="7">
        <v>45438</v>
      </c>
      <c r="J56" s="5" t="s">
        <v>16</v>
      </c>
      <c r="K56" s="5" t="s">
        <v>17</v>
      </c>
      <c r="L56" s="5">
        <v>237.01</v>
      </c>
      <c r="M56" s="8" t="s">
        <v>56</v>
      </c>
    </row>
    <row r="57" spans="1:13">
      <c r="A57" s="9" t="s">
        <v>116</v>
      </c>
      <c r="B57" s="10" t="s">
        <v>35</v>
      </c>
      <c r="C57" s="10" t="s">
        <v>15</v>
      </c>
      <c r="D57" s="10">
        <v>1910.1</v>
      </c>
      <c r="E57" s="10">
        <v>0.27</v>
      </c>
      <c r="F57" s="10">
        <v>4</v>
      </c>
      <c r="G57" s="11" t="str">
        <f t="shared" si="0"/>
        <v>January</v>
      </c>
      <c r="H57" s="12">
        <v>45303</v>
      </c>
      <c r="I57" s="12">
        <v>45305</v>
      </c>
      <c r="J57" s="10" t="s">
        <v>42</v>
      </c>
      <c r="K57" s="10" t="s">
        <v>29</v>
      </c>
      <c r="L57" s="10">
        <v>278.48</v>
      </c>
      <c r="M57" s="13" t="s">
        <v>37</v>
      </c>
    </row>
    <row r="58" spans="1:13">
      <c r="A58" s="4" t="s">
        <v>117</v>
      </c>
      <c r="B58" s="5" t="s">
        <v>14</v>
      </c>
      <c r="C58" s="5" t="s">
        <v>21</v>
      </c>
      <c r="D58" s="5">
        <v>2865.4</v>
      </c>
      <c r="E58" s="5">
        <v>0.37</v>
      </c>
      <c r="F58" s="5">
        <v>1</v>
      </c>
      <c r="G58" s="6" t="str">
        <f t="shared" si="0"/>
        <v>October</v>
      </c>
      <c r="H58" s="7">
        <v>45204</v>
      </c>
      <c r="I58" s="7">
        <v>45206</v>
      </c>
      <c r="J58" s="5" t="s">
        <v>16</v>
      </c>
      <c r="K58" s="5" t="s">
        <v>29</v>
      </c>
      <c r="L58" s="5">
        <v>356.81</v>
      </c>
      <c r="M58" s="8" t="s">
        <v>118</v>
      </c>
    </row>
    <row r="59" spans="1:13">
      <c r="A59" s="9" t="s">
        <v>119</v>
      </c>
      <c r="B59" s="10" t="s">
        <v>20</v>
      </c>
      <c r="C59" s="10" t="s">
        <v>21</v>
      </c>
      <c r="D59" s="10">
        <v>4725.93</v>
      </c>
      <c r="E59" s="10">
        <v>0.17</v>
      </c>
      <c r="F59" s="10">
        <v>5</v>
      </c>
      <c r="G59" s="11" t="str">
        <f t="shared" si="0"/>
        <v>April</v>
      </c>
      <c r="H59" s="12">
        <v>45409</v>
      </c>
      <c r="I59" s="12">
        <v>45416</v>
      </c>
      <c r="J59" s="10" t="s">
        <v>42</v>
      </c>
      <c r="K59" s="10" t="s">
        <v>29</v>
      </c>
      <c r="L59" s="10">
        <v>581.75</v>
      </c>
      <c r="M59" s="13" t="s">
        <v>113</v>
      </c>
    </row>
    <row r="60" spans="1:13">
      <c r="A60" s="4" t="s">
        <v>120</v>
      </c>
      <c r="B60" s="5" t="s">
        <v>27</v>
      </c>
      <c r="C60" s="5" t="s">
        <v>52</v>
      </c>
      <c r="D60" s="5">
        <v>4744.4799999999996</v>
      </c>
      <c r="E60" s="5">
        <v>0.37</v>
      </c>
      <c r="F60" s="5">
        <v>4</v>
      </c>
      <c r="G60" s="6" t="str">
        <f t="shared" si="0"/>
        <v>October</v>
      </c>
      <c r="H60" s="7">
        <v>45202</v>
      </c>
      <c r="I60" s="7">
        <v>45207</v>
      </c>
      <c r="J60" s="5" t="s">
        <v>16</v>
      </c>
      <c r="K60" s="5" t="s">
        <v>23</v>
      </c>
      <c r="L60" s="5">
        <v>1320.22</v>
      </c>
      <c r="M60" s="8" t="s">
        <v>82</v>
      </c>
    </row>
    <row r="61" spans="1:13">
      <c r="A61" s="9" t="s">
        <v>121</v>
      </c>
      <c r="B61" s="10" t="s">
        <v>35</v>
      </c>
      <c r="C61" s="10" t="s">
        <v>52</v>
      </c>
      <c r="D61" s="10">
        <v>443.48</v>
      </c>
      <c r="E61" s="10">
        <v>0.02</v>
      </c>
      <c r="F61" s="10">
        <v>9</v>
      </c>
      <c r="G61" s="11" t="str">
        <f t="shared" si="0"/>
        <v>October</v>
      </c>
      <c r="H61" s="12">
        <v>45219</v>
      </c>
      <c r="I61" s="12">
        <v>45221</v>
      </c>
      <c r="J61" s="10" t="s">
        <v>42</v>
      </c>
      <c r="K61" s="10" t="s">
        <v>23</v>
      </c>
      <c r="L61" s="10">
        <v>42.23</v>
      </c>
      <c r="M61" s="13" t="s">
        <v>18</v>
      </c>
    </row>
    <row r="62" spans="1:13">
      <c r="A62" s="4" t="s">
        <v>122</v>
      </c>
      <c r="B62" s="5" t="s">
        <v>14</v>
      </c>
      <c r="C62" s="5" t="s">
        <v>52</v>
      </c>
      <c r="D62" s="5">
        <v>3111.76</v>
      </c>
      <c r="E62" s="5">
        <v>0.08</v>
      </c>
      <c r="F62" s="5">
        <v>3</v>
      </c>
      <c r="G62" s="6" t="str">
        <f t="shared" si="0"/>
        <v>May</v>
      </c>
      <c r="H62" s="7">
        <v>45054</v>
      </c>
      <c r="I62" s="7">
        <v>45057</v>
      </c>
      <c r="J62" s="5" t="s">
        <v>22</v>
      </c>
      <c r="K62" s="5" t="s">
        <v>23</v>
      </c>
      <c r="L62" s="5">
        <v>835.81</v>
      </c>
      <c r="M62" s="8" t="s">
        <v>84</v>
      </c>
    </row>
    <row r="63" spans="1:13">
      <c r="A63" s="9" t="s">
        <v>123</v>
      </c>
      <c r="B63" s="10" t="s">
        <v>20</v>
      </c>
      <c r="C63" s="10" t="s">
        <v>15</v>
      </c>
      <c r="D63" s="10">
        <v>307.52999999999997</v>
      </c>
      <c r="E63" s="10">
        <v>0.32</v>
      </c>
      <c r="F63" s="10">
        <v>4</v>
      </c>
      <c r="G63" s="11" t="str">
        <f t="shared" si="0"/>
        <v>November</v>
      </c>
      <c r="H63" s="12">
        <v>45233</v>
      </c>
      <c r="I63" s="12">
        <v>45238</v>
      </c>
      <c r="J63" s="10" t="s">
        <v>16</v>
      </c>
      <c r="K63" s="10" t="s">
        <v>29</v>
      </c>
      <c r="L63" s="10">
        <v>54.58</v>
      </c>
      <c r="M63" s="13" t="s">
        <v>36</v>
      </c>
    </row>
    <row r="64" spans="1:13">
      <c r="A64" s="4" t="s">
        <v>124</v>
      </c>
      <c r="B64" s="5" t="s">
        <v>27</v>
      </c>
      <c r="C64" s="5" t="s">
        <v>21</v>
      </c>
      <c r="D64" s="5">
        <v>3275.6</v>
      </c>
      <c r="E64" s="5">
        <v>0.22</v>
      </c>
      <c r="F64" s="5">
        <v>3</v>
      </c>
      <c r="G64" s="6" t="str">
        <f t="shared" si="0"/>
        <v>March</v>
      </c>
      <c r="H64" s="7">
        <v>44999</v>
      </c>
      <c r="I64" s="7">
        <v>45000</v>
      </c>
      <c r="J64" s="5" t="s">
        <v>16</v>
      </c>
      <c r="K64" s="5" t="s">
        <v>29</v>
      </c>
      <c r="L64" s="5">
        <v>922.83</v>
      </c>
      <c r="M64" s="8" t="s">
        <v>118</v>
      </c>
    </row>
    <row r="65" spans="1:13">
      <c r="A65" s="9" t="s">
        <v>125</v>
      </c>
      <c r="B65" s="10" t="s">
        <v>35</v>
      </c>
      <c r="C65" s="10" t="s">
        <v>28</v>
      </c>
      <c r="D65" s="10">
        <v>676.75</v>
      </c>
      <c r="E65" s="10">
        <v>0.41</v>
      </c>
      <c r="F65" s="10">
        <v>3</v>
      </c>
      <c r="G65" s="11" t="str">
        <f t="shared" si="0"/>
        <v>January</v>
      </c>
      <c r="H65" s="12">
        <v>45299</v>
      </c>
      <c r="I65" s="12">
        <v>45301</v>
      </c>
      <c r="J65" s="10" t="s">
        <v>42</v>
      </c>
      <c r="K65" s="10" t="s">
        <v>23</v>
      </c>
      <c r="L65" s="10">
        <v>36.86</v>
      </c>
      <c r="M65" s="13" t="s">
        <v>118</v>
      </c>
    </row>
    <row r="66" spans="1:13">
      <c r="A66" s="4" t="s">
        <v>126</v>
      </c>
      <c r="B66" s="5" t="s">
        <v>14</v>
      </c>
      <c r="C66" s="5" t="s">
        <v>15</v>
      </c>
      <c r="D66" s="5">
        <v>4737.37</v>
      </c>
      <c r="E66" s="5">
        <v>0.17</v>
      </c>
      <c r="F66" s="5">
        <v>7</v>
      </c>
      <c r="G66" s="6" t="str">
        <f t="shared" ref="G66:G129" si="1">TEXT(H66,"mmmm")</f>
        <v>December</v>
      </c>
      <c r="H66" s="7">
        <v>45652</v>
      </c>
      <c r="I66" s="7">
        <v>45653</v>
      </c>
      <c r="J66" s="5" t="s">
        <v>16</v>
      </c>
      <c r="K66" s="5" t="s">
        <v>17</v>
      </c>
      <c r="L66" s="5">
        <v>499.78</v>
      </c>
      <c r="M66" s="8" t="s">
        <v>36</v>
      </c>
    </row>
    <row r="67" spans="1:13">
      <c r="A67" s="9" t="s">
        <v>127</v>
      </c>
      <c r="B67" s="10" t="s">
        <v>20</v>
      </c>
      <c r="C67" s="10" t="s">
        <v>47</v>
      </c>
      <c r="D67" s="10">
        <v>4335.26</v>
      </c>
      <c r="E67" s="10">
        <v>0.38</v>
      </c>
      <c r="F67" s="10">
        <v>5</v>
      </c>
      <c r="G67" s="11" t="str">
        <f t="shared" si="1"/>
        <v>March</v>
      </c>
      <c r="H67" s="12">
        <v>45360</v>
      </c>
      <c r="I67" s="12">
        <v>45362</v>
      </c>
      <c r="J67" s="10" t="s">
        <v>42</v>
      </c>
      <c r="K67" s="10" t="s">
        <v>17</v>
      </c>
      <c r="L67" s="10">
        <v>757.48</v>
      </c>
      <c r="M67" s="13" t="s">
        <v>56</v>
      </c>
    </row>
    <row r="68" spans="1:13">
      <c r="A68" s="4" t="s">
        <v>128</v>
      </c>
      <c r="B68" s="5" t="s">
        <v>27</v>
      </c>
      <c r="C68" s="5" t="s">
        <v>52</v>
      </c>
      <c r="D68" s="5">
        <v>209.41</v>
      </c>
      <c r="E68" s="5">
        <v>7.0000000000000007E-2</v>
      </c>
      <c r="F68" s="5">
        <v>5</v>
      </c>
      <c r="G68" s="6" t="str">
        <f t="shared" si="1"/>
        <v>December</v>
      </c>
      <c r="H68" s="7">
        <v>45646</v>
      </c>
      <c r="I68" s="7">
        <v>45651</v>
      </c>
      <c r="J68" s="5" t="s">
        <v>22</v>
      </c>
      <c r="K68" s="5" t="s">
        <v>29</v>
      </c>
      <c r="L68" s="5">
        <v>17.88</v>
      </c>
      <c r="M68" s="8" t="s">
        <v>37</v>
      </c>
    </row>
    <row r="69" spans="1:13">
      <c r="A69" s="9" t="s">
        <v>129</v>
      </c>
      <c r="B69" s="10" t="s">
        <v>35</v>
      </c>
      <c r="C69" s="10" t="s">
        <v>21</v>
      </c>
      <c r="D69" s="10">
        <v>3932.45</v>
      </c>
      <c r="E69" s="10">
        <v>0.47</v>
      </c>
      <c r="F69" s="10">
        <v>4</v>
      </c>
      <c r="G69" s="11" t="str">
        <f t="shared" si="1"/>
        <v>March</v>
      </c>
      <c r="H69" s="12">
        <v>44988</v>
      </c>
      <c r="I69" s="12">
        <v>44994</v>
      </c>
      <c r="J69" s="10" t="s">
        <v>42</v>
      </c>
      <c r="K69" s="10" t="s">
        <v>29</v>
      </c>
      <c r="L69" s="10">
        <v>408.02</v>
      </c>
      <c r="M69" s="13" t="s">
        <v>87</v>
      </c>
    </row>
    <row r="70" spans="1:13">
      <c r="A70" s="4" t="s">
        <v>130</v>
      </c>
      <c r="B70" s="5" t="s">
        <v>14</v>
      </c>
      <c r="C70" s="5" t="s">
        <v>15</v>
      </c>
      <c r="D70" s="5">
        <v>3215.9</v>
      </c>
      <c r="E70" s="5">
        <v>0.21</v>
      </c>
      <c r="F70" s="5">
        <v>8</v>
      </c>
      <c r="G70" s="6" t="str">
        <f t="shared" si="1"/>
        <v>February</v>
      </c>
      <c r="H70" s="7">
        <v>44970</v>
      </c>
      <c r="I70" s="7">
        <v>44973</v>
      </c>
      <c r="J70" s="5" t="s">
        <v>16</v>
      </c>
      <c r="K70" s="5" t="s">
        <v>29</v>
      </c>
      <c r="L70" s="5">
        <v>542.05999999999995</v>
      </c>
      <c r="M70" s="8" t="s">
        <v>118</v>
      </c>
    </row>
    <row r="71" spans="1:13">
      <c r="A71" s="9" t="s">
        <v>131</v>
      </c>
      <c r="B71" s="10" t="s">
        <v>20</v>
      </c>
      <c r="C71" s="10" t="s">
        <v>47</v>
      </c>
      <c r="D71" s="10">
        <v>2527.31</v>
      </c>
      <c r="E71" s="10">
        <v>0.12</v>
      </c>
      <c r="F71" s="10">
        <v>1</v>
      </c>
      <c r="G71" s="11" t="str">
        <f t="shared" si="1"/>
        <v>January</v>
      </c>
      <c r="H71" s="12">
        <v>45296</v>
      </c>
      <c r="I71" s="12">
        <v>45297</v>
      </c>
      <c r="J71" s="10" t="s">
        <v>22</v>
      </c>
      <c r="K71" s="10" t="s">
        <v>23</v>
      </c>
      <c r="L71" s="10">
        <v>611.45000000000005</v>
      </c>
      <c r="M71" s="13" t="s">
        <v>77</v>
      </c>
    </row>
    <row r="72" spans="1:13">
      <c r="A72" s="4" t="s">
        <v>132</v>
      </c>
      <c r="B72" s="5" t="s">
        <v>27</v>
      </c>
      <c r="C72" s="5" t="s">
        <v>15</v>
      </c>
      <c r="D72" s="5">
        <v>3052.91</v>
      </c>
      <c r="E72" s="5">
        <v>0.39</v>
      </c>
      <c r="F72" s="5">
        <v>9</v>
      </c>
      <c r="G72" s="6" t="str">
        <f t="shared" si="1"/>
        <v>June</v>
      </c>
      <c r="H72" s="7">
        <v>45449</v>
      </c>
      <c r="I72" s="7">
        <v>45453</v>
      </c>
      <c r="J72" s="5" t="s">
        <v>42</v>
      </c>
      <c r="K72" s="5" t="s">
        <v>23</v>
      </c>
      <c r="L72" s="5">
        <v>752</v>
      </c>
      <c r="M72" s="8" t="s">
        <v>37</v>
      </c>
    </row>
    <row r="73" spans="1:13">
      <c r="A73" s="9" t="s">
        <v>133</v>
      </c>
      <c r="B73" s="10" t="s">
        <v>35</v>
      </c>
      <c r="C73" s="10" t="s">
        <v>15</v>
      </c>
      <c r="D73" s="10">
        <v>3423.43</v>
      </c>
      <c r="E73" s="10">
        <v>0.47</v>
      </c>
      <c r="F73" s="10">
        <v>9</v>
      </c>
      <c r="G73" s="11" t="str">
        <f t="shared" si="1"/>
        <v>November</v>
      </c>
      <c r="H73" s="12">
        <v>45620</v>
      </c>
      <c r="I73" s="12">
        <v>45622</v>
      </c>
      <c r="J73" s="10" t="s">
        <v>42</v>
      </c>
      <c r="K73" s="10" t="s">
        <v>23</v>
      </c>
      <c r="L73" s="10">
        <v>698.02</v>
      </c>
      <c r="M73" s="13" t="s">
        <v>25</v>
      </c>
    </row>
    <row r="74" spans="1:13">
      <c r="A74" s="4" t="s">
        <v>134</v>
      </c>
      <c r="B74" s="5" t="s">
        <v>14</v>
      </c>
      <c r="C74" s="5" t="s">
        <v>28</v>
      </c>
      <c r="D74" s="5">
        <v>4433.84</v>
      </c>
      <c r="E74" s="5">
        <v>0.46</v>
      </c>
      <c r="F74" s="5">
        <v>5</v>
      </c>
      <c r="G74" s="6" t="str">
        <f t="shared" si="1"/>
        <v>November</v>
      </c>
      <c r="H74" s="7">
        <v>45621</v>
      </c>
      <c r="I74" s="7">
        <v>45626</v>
      </c>
      <c r="J74" s="5" t="s">
        <v>22</v>
      </c>
      <c r="K74" s="5" t="s">
        <v>29</v>
      </c>
      <c r="L74" s="5">
        <v>1229.3</v>
      </c>
      <c r="M74" s="8" t="s">
        <v>82</v>
      </c>
    </row>
    <row r="75" spans="1:13">
      <c r="A75" s="9" t="s">
        <v>135</v>
      </c>
      <c r="B75" s="10" t="s">
        <v>20</v>
      </c>
      <c r="C75" s="10" t="s">
        <v>28</v>
      </c>
      <c r="D75" s="10">
        <v>3860.05</v>
      </c>
      <c r="E75" s="10">
        <v>0.12</v>
      </c>
      <c r="F75" s="10">
        <v>1</v>
      </c>
      <c r="G75" s="11" t="str">
        <f t="shared" si="1"/>
        <v>March</v>
      </c>
      <c r="H75" s="12">
        <v>44987</v>
      </c>
      <c r="I75" s="12">
        <v>44994</v>
      </c>
      <c r="J75" s="10" t="s">
        <v>16</v>
      </c>
      <c r="K75" s="10" t="s">
        <v>17</v>
      </c>
      <c r="L75" s="10">
        <v>800.39</v>
      </c>
      <c r="M75" s="13" t="s">
        <v>36</v>
      </c>
    </row>
    <row r="76" spans="1:13">
      <c r="A76" s="4" t="s">
        <v>136</v>
      </c>
      <c r="B76" s="5" t="s">
        <v>27</v>
      </c>
      <c r="C76" s="5" t="s">
        <v>15</v>
      </c>
      <c r="D76" s="5">
        <v>2919.35</v>
      </c>
      <c r="E76" s="5">
        <v>0.34</v>
      </c>
      <c r="F76" s="5">
        <v>2</v>
      </c>
      <c r="G76" s="6" t="str">
        <f t="shared" si="1"/>
        <v>April</v>
      </c>
      <c r="H76" s="7">
        <v>45409</v>
      </c>
      <c r="I76" s="7">
        <v>45410</v>
      </c>
      <c r="J76" s="5" t="s">
        <v>16</v>
      </c>
      <c r="K76" s="5" t="s">
        <v>23</v>
      </c>
      <c r="L76" s="5">
        <v>163.35</v>
      </c>
      <c r="M76" s="8" t="s">
        <v>70</v>
      </c>
    </row>
    <row r="77" spans="1:13">
      <c r="A77" s="9" t="s">
        <v>137</v>
      </c>
      <c r="B77" s="10" t="s">
        <v>35</v>
      </c>
      <c r="C77" s="10" t="s">
        <v>47</v>
      </c>
      <c r="D77" s="10">
        <v>4140.62</v>
      </c>
      <c r="E77" s="10">
        <v>0.27</v>
      </c>
      <c r="F77" s="10">
        <v>2</v>
      </c>
      <c r="G77" s="11" t="str">
        <f t="shared" si="1"/>
        <v>June</v>
      </c>
      <c r="H77" s="12">
        <v>45106</v>
      </c>
      <c r="I77" s="12">
        <v>45113</v>
      </c>
      <c r="J77" s="10" t="s">
        <v>16</v>
      </c>
      <c r="K77" s="10" t="s">
        <v>17</v>
      </c>
      <c r="L77" s="10">
        <v>743.22</v>
      </c>
      <c r="M77" s="13" t="s">
        <v>70</v>
      </c>
    </row>
    <row r="78" spans="1:13">
      <c r="A78" s="4" t="s">
        <v>138</v>
      </c>
      <c r="B78" s="5" t="s">
        <v>14</v>
      </c>
      <c r="C78" s="5" t="s">
        <v>21</v>
      </c>
      <c r="D78" s="5">
        <v>4935.92</v>
      </c>
      <c r="E78" s="5">
        <v>0.36</v>
      </c>
      <c r="F78" s="5">
        <v>6</v>
      </c>
      <c r="G78" s="6" t="str">
        <f t="shared" si="1"/>
        <v>September</v>
      </c>
      <c r="H78" s="7">
        <v>45561</v>
      </c>
      <c r="I78" s="7">
        <v>45566</v>
      </c>
      <c r="J78" s="5" t="s">
        <v>22</v>
      </c>
      <c r="K78" s="5" t="s">
        <v>17</v>
      </c>
      <c r="L78" s="5">
        <v>1440.78</v>
      </c>
      <c r="M78" s="8" t="s">
        <v>74</v>
      </c>
    </row>
    <row r="79" spans="1:13">
      <c r="A79" s="9" t="s">
        <v>139</v>
      </c>
      <c r="B79" s="10" t="s">
        <v>20</v>
      </c>
      <c r="C79" s="10" t="s">
        <v>21</v>
      </c>
      <c r="D79" s="10">
        <v>1570.89</v>
      </c>
      <c r="E79" s="10">
        <v>0.24</v>
      </c>
      <c r="F79" s="10">
        <v>9</v>
      </c>
      <c r="G79" s="11" t="str">
        <f t="shared" si="1"/>
        <v>January</v>
      </c>
      <c r="H79" s="12">
        <v>44948</v>
      </c>
      <c r="I79" s="12">
        <v>44949</v>
      </c>
      <c r="J79" s="10" t="s">
        <v>42</v>
      </c>
      <c r="K79" s="10" t="s">
        <v>17</v>
      </c>
      <c r="L79" s="10">
        <v>336.22</v>
      </c>
      <c r="M79" s="13" t="s">
        <v>113</v>
      </c>
    </row>
    <row r="80" spans="1:13">
      <c r="A80" s="4" t="s">
        <v>140</v>
      </c>
      <c r="B80" s="5" t="s">
        <v>27</v>
      </c>
      <c r="C80" s="5" t="s">
        <v>52</v>
      </c>
      <c r="D80" s="5">
        <v>680.26</v>
      </c>
      <c r="E80" s="5">
        <v>0.23</v>
      </c>
      <c r="F80" s="5">
        <v>3</v>
      </c>
      <c r="G80" s="6" t="str">
        <f t="shared" si="1"/>
        <v>May</v>
      </c>
      <c r="H80" s="7">
        <v>45441</v>
      </c>
      <c r="I80" s="7">
        <v>45444</v>
      </c>
      <c r="J80" s="5" t="s">
        <v>22</v>
      </c>
      <c r="K80" s="5" t="s">
        <v>17</v>
      </c>
      <c r="L80" s="5">
        <v>151.09</v>
      </c>
      <c r="M80" s="8" t="s">
        <v>36</v>
      </c>
    </row>
    <row r="81" spans="1:13">
      <c r="A81" s="9" t="s">
        <v>141</v>
      </c>
      <c r="B81" s="10" t="s">
        <v>35</v>
      </c>
      <c r="C81" s="10" t="s">
        <v>52</v>
      </c>
      <c r="D81" s="10">
        <v>3684.1</v>
      </c>
      <c r="E81" s="10">
        <v>0.44</v>
      </c>
      <c r="F81" s="10">
        <v>8</v>
      </c>
      <c r="G81" s="11" t="str">
        <f t="shared" si="1"/>
        <v>December</v>
      </c>
      <c r="H81" s="12">
        <v>45642</v>
      </c>
      <c r="I81" s="12">
        <v>45649</v>
      </c>
      <c r="J81" s="10" t="s">
        <v>42</v>
      </c>
      <c r="K81" s="10" t="s">
        <v>17</v>
      </c>
      <c r="L81" s="10">
        <v>289.32</v>
      </c>
      <c r="M81" s="13" t="s">
        <v>56</v>
      </c>
    </row>
    <row r="82" spans="1:13">
      <c r="A82" s="4" t="s">
        <v>142</v>
      </c>
      <c r="B82" s="5" t="s">
        <v>14</v>
      </c>
      <c r="C82" s="5" t="s">
        <v>21</v>
      </c>
      <c r="D82" s="5">
        <v>4895.12</v>
      </c>
      <c r="E82" s="5">
        <v>0.44</v>
      </c>
      <c r="F82" s="5">
        <v>2</v>
      </c>
      <c r="G82" s="6" t="str">
        <f t="shared" si="1"/>
        <v>November</v>
      </c>
      <c r="H82" s="7">
        <v>45624</v>
      </c>
      <c r="I82" s="7">
        <v>45630</v>
      </c>
      <c r="J82" s="5" t="s">
        <v>22</v>
      </c>
      <c r="K82" s="5" t="s">
        <v>23</v>
      </c>
      <c r="L82" s="5">
        <v>684.94</v>
      </c>
      <c r="M82" s="8" t="s">
        <v>56</v>
      </c>
    </row>
    <row r="83" spans="1:13">
      <c r="A83" s="9" t="s">
        <v>143</v>
      </c>
      <c r="B83" s="10" t="s">
        <v>20</v>
      </c>
      <c r="C83" s="10" t="s">
        <v>15</v>
      </c>
      <c r="D83" s="10">
        <v>671.86</v>
      </c>
      <c r="E83" s="10">
        <v>0.39</v>
      </c>
      <c r="F83" s="10">
        <v>5</v>
      </c>
      <c r="G83" s="11" t="str">
        <f t="shared" si="1"/>
        <v>November</v>
      </c>
      <c r="H83" s="12">
        <v>45609</v>
      </c>
      <c r="I83" s="12">
        <v>45611</v>
      </c>
      <c r="J83" s="10" t="s">
        <v>42</v>
      </c>
      <c r="K83" s="10" t="s">
        <v>17</v>
      </c>
      <c r="L83" s="10">
        <v>175.75</v>
      </c>
      <c r="M83" s="13" t="s">
        <v>54</v>
      </c>
    </row>
    <row r="84" spans="1:13">
      <c r="A84" s="4" t="s">
        <v>144</v>
      </c>
      <c r="B84" s="5" t="s">
        <v>27</v>
      </c>
      <c r="C84" s="5" t="s">
        <v>15</v>
      </c>
      <c r="D84" s="5">
        <v>2215.37</v>
      </c>
      <c r="E84" s="5">
        <v>0.35</v>
      </c>
      <c r="F84" s="5">
        <v>4</v>
      </c>
      <c r="G84" s="6" t="str">
        <f t="shared" si="1"/>
        <v>July</v>
      </c>
      <c r="H84" s="7">
        <v>45499</v>
      </c>
      <c r="I84" s="7">
        <v>45506</v>
      </c>
      <c r="J84" s="5" t="s">
        <v>42</v>
      </c>
      <c r="K84" s="5" t="s">
        <v>29</v>
      </c>
      <c r="L84" s="5">
        <v>171.87</v>
      </c>
      <c r="M84" s="8" t="s">
        <v>113</v>
      </c>
    </row>
    <row r="85" spans="1:13">
      <c r="A85" s="9" t="s">
        <v>145</v>
      </c>
      <c r="B85" s="10" t="s">
        <v>35</v>
      </c>
      <c r="C85" s="10" t="s">
        <v>28</v>
      </c>
      <c r="D85" s="10">
        <v>405.11</v>
      </c>
      <c r="E85" s="10">
        <v>0.34</v>
      </c>
      <c r="F85" s="10">
        <v>5</v>
      </c>
      <c r="G85" s="11" t="str">
        <f t="shared" si="1"/>
        <v>December</v>
      </c>
      <c r="H85" s="12">
        <v>45275</v>
      </c>
      <c r="I85" s="12">
        <v>45276</v>
      </c>
      <c r="J85" s="10" t="s">
        <v>22</v>
      </c>
      <c r="K85" s="10" t="s">
        <v>23</v>
      </c>
      <c r="L85" s="10">
        <v>105.25</v>
      </c>
      <c r="M85" s="13" t="s">
        <v>77</v>
      </c>
    </row>
    <row r="86" spans="1:13">
      <c r="A86" s="4" t="s">
        <v>146</v>
      </c>
      <c r="B86" s="5" t="s">
        <v>14</v>
      </c>
      <c r="C86" s="5" t="s">
        <v>28</v>
      </c>
      <c r="D86" s="5">
        <v>3905.01</v>
      </c>
      <c r="E86" s="5">
        <v>0.03</v>
      </c>
      <c r="F86" s="5">
        <v>4</v>
      </c>
      <c r="G86" s="6" t="str">
        <f t="shared" si="1"/>
        <v>July</v>
      </c>
      <c r="H86" s="7">
        <v>45491</v>
      </c>
      <c r="I86" s="7">
        <v>45498</v>
      </c>
      <c r="J86" s="5" t="s">
        <v>22</v>
      </c>
      <c r="K86" s="5" t="s">
        <v>17</v>
      </c>
      <c r="L86" s="5">
        <v>754.77</v>
      </c>
      <c r="M86" s="8" t="s">
        <v>77</v>
      </c>
    </row>
    <row r="87" spans="1:13">
      <c r="A87" s="9" t="s">
        <v>147</v>
      </c>
      <c r="B87" s="10" t="s">
        <v>20</v>
      </c>
      <c r="C87" s="10" t="s">
        <v>52</v>
      </c>
      <c r="D87" s="10">
        <v>4748.67</v>
      </c>
      <c r="E87" s="10">
        <v>0.37</v>
      </c>
      <c r="F87" s="10">
        <v>1</v>
      </c>
      <c r="G87" s="11" t="str">
        <f t="shared" si="1"/>
        <v>November</v>
      </c>
      <c r="H87" s="12">
        <v>45599</v>
      </c>
      <c r="I87" s="12">
        <v>45603</v>
      </c>
      <c r="J87" s="10" t="s">
        <v>22</v>
      </c>
      <c r="K87" s="10" t="s">
        <v>17</v>
      </c>
      <c r="L87" s="10">
        <v>705.01</v>
      </c>
      <c r="M87" s="13" t="s">
        <v>56</v>
      </c>
    </row>
    <row r="88" spans="1:13">
      <c r="A88" s="4" t="s">
        <v>148</v>
      </c>
      <c r="B88" s="5" t="s">
        <v>27</v>
      </c>
      <c r="C88" s="5" t="s">
        <v>21</v>
      </c>
      <c r="D88" s="5">
        <v>2545.0700000000002</v>
      </c>
      <c r="E88" s="5">
        <v>0.32</v>
      </c>
      <c r="F88" s="5">
        <v>1</v>
      </c>
      <c r="G88" s="6" t="str">
        <f t="shared" si="1"/>
        <v>August</v>
      </c>
      <c r="H88" s="7">
        <v>45150</v>
      </c>
      <c r="I88" s="7">
        <v>45152</v>
      </c>
      <c r="J88" s="5" t="s">
        <v>42</v>
      </c>
      <c r="K88" s="5" t="s">
        <v>23</v>
      </c>
      <c r="L88" s="5">
        <v>719.11</v>
      </c>
      <c r="M88" s="8" t="s">
        <v>30</v>
      </c>
    </row>
    <row r="89" spans="1:13">
      <c r="A89" s="9" t="s">
        <v>149</v>
      </c>
      <c r="B89" s="10" t="s">
        <v>35</v>
      </c>
      <c r="C89" s="10" t="s">
        <v>15</v>
      </c>
      <c r="D89" s="10">
        <v>2106.65</v>
      </c>
      <c r="E89" s="10">
        <v>0.15</v>
      </c>
      <c r="F89" s="10">
        <v>6</v>
      </c>
      <c r="G89" s="11" t="str">
        <f t="shared" si="1"/>
        <v>June</v>
      </c>
      <c r="H89" s="12">
        <v>45463</v>
      </c>
      <c r="I89" s="12">
        <v>45465</v>
      </c>
      <c r="J89" s="10" t="s">
        <v>22</v>
      </c>
      <c r="K89" s="10" t="s">
        <v>17</v>
      </c>
      <c r="L89" s="10">
        <v>120.84</v>
      </c>
      <c r="M89" s="13" t="s">
        <v>74</v>
      </c>
    </row>
    <row r="90" spans="1:13">
      <c r="A90" s="4" t="s">
        <v>150</v>
      </c>
      <c r="B90" s="5" t="s">
        <v>14</v>
      </c>
      <c r="C90" s="5" t="s">
        <v>21</v>
      </c>
      <c r="D90" s="5">
        <v>4547.82</v>
      </c>
      <c r="E90" s="5">
        <v>0.41</v>
      </c>
      <c r="F90" s="5">
        <v>8</v>
      </c>
      <c r="G90" s="6" t="str">
        <f t="shared" si="1"/>
        <v>November</v>
      </c>
      <c r="H90" s="7">
        <v>45232</v>
      </c>
      <c r="I90" s="7">
        <v>45237</v>
      </c>
      <c r="J90" s="5" t="s">
        <v>42</v>
      </c>
      <c r="K90" s="5" t="s">
        <v>29</v>
      </c>
      <c r="L90" s="5">
        <v>1281.0999999999999</v>
      </c>
      <c r="M90" s="8" t="s">
        <v>37</v>
      </c>
    </row>
    <row r="91" spans="1:13">
      <c r="A91" s="9" t="s">
        <v>151</v>
      </c>
      <c r="B91" s="10" t="s">
        <v>20</v>
      </c>
      <c r="C91" s="10" t="s">
        <v>47</v>
      </c>
      <c r="D91" s="10">
        <v>753.6</v>
      </c>
      <c r="E91" s="10">
        <v>0.42</v>
      </c>
      <c r="F91" s="10">
        <v>7</v>
      </c>
      <c r="G91" s="11" t="str">
        <f t="shared" si="1"/>
        <v>October</v>
      </c>
      <c r="H91" s="12">
        <v>45229</v>
      </c>
      <c r="I91" s="12">
        <v>45231</v>
      </c>
      <c r="J91" s="10" t="s">
        <v>42</v>
      </c>
      <c r="K91" s="10" t="s">
        <v>17</v>
      </c>
      <c r="L91" s="10">
        <v>203.17</v>
      </c>
      <c r="M91" s="13" t="s">
        <v>25</v>
      </c>
    </row>
    <row r="92" spans="1:13">
      <c r="A92" s="4" t="s">
        <v>152</v>
      </c>
      <c r="B92" s="5" t="s">
        <v>27</v>
      </c>
      <c r="C92" s="5" t="s">
        <v>21</v>
      </c>
      <c r="D92" s="5">
        <v>4468.76</v>
      </c>
      <c r="E92" s="5">
        <v>0.47</v>
      </c>
      <c r="F92" s="5">
        <v>4</v>
      </c>
      <c r="G92" s="6" t="str">
        <f t="shared" si="1"/>
        <v>September</v>
      </c>
      <c r="H92" s="7">
        <v>45560</v>
      </c>
      <c r="I92" s="7">
        <v>45561</v>
      </c>
      <c r="J92" s="5" t="s">
        <v>22</v>
      </c>
      <c r="K92" s="5" t="s">
        <v>23</v>
      </c>
      <c r="L92" s="5">
        <v>1325.93</v>
      </c>
      <c r="M92" s="8" t="s">
        <v>74</v>
      </c>
    </row>
    <row r="93" spans="1:13">
      <c r="A93" s="9" t="s">
        <v>153</v>
      </c>
      <c r="B93" s="10" t="s">
        <v>35</v>
      </c>
      <c r="C93" s="10" t="s">
        <v>47</v>
      </c>
      <c r="D93" s="10">
        <v>2021.42</v>
      </c>
      <c r="E93" s="10">
        <v>0.21</v>
      </c>
      <c r="F93" s="10">
        <v>5</v>
      </c>
      <c r="G93" s="11" t="str">
        <f t="shared" si="1"/>
        <v>November</v>
      </c>
      <c r="H93" s="12">
        <v>45624</v>
      </c>
      <c r="I93" s="12">
        <v>45627</v>
      </c>
      <c r="J93" s="10" t="s">
        <v>16</v>
      </c>
      <c r="K93" s="10" t="s">
        <v>23</v>
      </c>
      <c r="L93" s="10">
        <v>311.67</v>
      </c>
      <c r="M93" s="13" t="s">
        <v>36</v>
      </c>
    </row>
    <row r="94" spans="1:13">
      <c r="A94" s="4" t="s">
        <v>154</v>
      </c>
      <c r="B94" s="5" t="s">
        <v>14</v>
      </c>
      <c r="C94" s="5" t="s">
        <v>28</v>
      </c>
      <c r="D94" s="5">
        <v>2841.09</v>
      </c>
      <c r="E94" s="5">
        <v>0.28000000000000003</v>
      </c>
      <c r="F94" s="5">
        <v>8</v>
      </c>
      <c r="G94" s="6" t="str">
        <f t="shared" si="1"/>
        <v>December</v>
      </c>
      <c r="H94" s="7">
        <v>45282</v>
      </c>
      <c r="I94" s="7">
        <v>45283</v>
      </c>
      <c r="J94" s="5" t="s">
        <v>16</v>
      </c>
      <c r="K94" s="5" t="s">
        <v>23</v>
      </c>
      <c r="L94" s="5">
        <v>469.27</v>
      </c>
      <c r="M94" s="8" t="s">
        <v>36</v>
      </c>
    </row>
    <row r="95" spans="1:13">
      <c r="A95" s="9" t="s">
        <v>155</v>
      </c>
      <c r="B95" s="10" t="s">
        <v>20</v>
      </c>
      <c r="C95" s="10" t="s">
        <v>28</v>
      </c>
      <c r="D95" s="10">
        <v>2688.63</v>
      </c>
      <c r="E95" s="10">
        <v>0.45</v>
      </c>
      <c r="F95" s="10">
        <v>6</v>
      </c>
      <c r="G95" s="11" t="str">
        <f t="shared" si="1"/>
        <v>July</v>
      </c>
      <c r="H95" s="12">
        <v>45504</v>
      </c>
      <c r="I95" s="12">
        <v>45510</v>
      </c>
      <c r="J95" s="10" t="s">
        <v>42</v>
      </c>
      <c r="K95" s="10" t="s">
        <v>29</v>
      </c>
      <c r="L95" s="10">
        <v>608.51</v>
      </c>
      <c r="M95" s="13" t="s">
        <v>118</v>
      </c>
    </row>
    <row r="96" spans="1:13">
      <c r="A96" s="4" t="s">
        <v>156</v>
      </c>
      <c r="B96" s="5" t="s">
        <v>27</v>
      </c>
      <c r="C96" s="5" t="s">
        <v>52</v>
      </c>
      <c r="D96" s="5">
        <v>3118.3</v>
      </c>
      <c r="E96" s="5">
        <v>0.16</v>
      </c>
      <c r="F96" s="5">
        <v>8</v>
      </c>
      <c r="G96" s="6" t="str">
        <f t="shared" si="1"/>
        <v>December</v>
      </c>
      <c r="H96" s="7">
        <v>45645</v>
      </c>
      <c r="I96" s="7">
        <v>45647</v>
      </c>
      <c r="J96" s="5" t="s">
        <v>42</v>
      </c>
      <c r="K96" s="5" t="s">
        <v>17</v>
      </c>
      <c r="L96" s="5">
        <v>241.86</v>
      </c>
      <c r="M96" s="8" t="s">
        <v>37</v>
      </c>
    </row>
    <row r="97" spans="1:13">
      <c r="A97" s="9" t="s">
        <v>157</v>
      </c>
      <c r="B97" s="10" t="s">
        <v>35</v>
      </c>
      <c r="C97" s="10" t="s">
        <v>21</v>
      </c>
      <c r="D97" s="10">
        <v>4716.3999999999996</v>
      </c>
      <c r="E97" s="10">
        <v>0.4</v>
      </c>
      <c r="F97" s="10">
        <v>6</v>
      </c>
      <c r="G97" s="11" t="str">
        <f t="shared" si="1"/>
        <v>September</v>
      </c>
      <c r="H97" s="12">
        <v>45195</v>
      </c>
      <c r="I97" s="12">
        <v>45199</v>
      </c>
      <c r="J97" s="10" t="s">
        <v>16</v>
      </c>
      <c r="K97" s="10" t="s">
        <v>23</v>
      </c>
      <c r="L97" s="10">
        <v>523.02</v>
      </c>
      <c r="M97" s="13" t="s">
        <v>113</v>
      </c>
    </row>
    <row r="98" spans="1:13">
      <c r="A98" s="4" t="s">
        <v>158</v>
      </c>
      <c r="B98" s="5" t="s">
        <v>14</v>
      </c>
      <c r="C98" s="5" t="s">
        <v>21</v>
      </c>
      <c r="D98" s="5">
        <v>4760.5200000000004</v>
      </c>
      <c r="E98" s="5">
        <v>0.5</v>
      </c>
      <c r="F98" s="5">
        <v>8</v>
      </c>
      <c r="G98" s="6" t="str">
        <f t="shared" si="1"/>
        <v>January</v>
      </c>
      <c r="H98" s="7">
        <v>44941</v>
      </c>
      <c r="I98" s="7">
        <v>44947</v>
      </c>
      <c r="J98" s="5" t="s">
        <v>42</v>
      </c>
      <c r="K98" s="5" t="s">
        <v>29</v>
      </c>
      <c r="L98" s="5">
        <v>764.06</v>
      </c>
      <c r="M98" s="8" t="s">
        <v>87</v>
      </c>
    </row>
    <row r="99" spans="1:13">
      <c r="A99" s="9" t="s">
        <v>159</v>
      </c>
      <c r="B99" s="10" t="s">
        <v>20</v>
      </c>
      <c r="C99" s="10" t="s">
        <v>47</v>
      </c>
      <c r="D99" s="10">
        <v>4172.63</v>
      </c>
      <c r="E99" s="10">
        <v>0.33</v>
      </c>
      <c r="F99" s="10">
        <v>4</v>
      </c>
      <c r="G99" s="11" t="str">
        <f t="shared" si="1"/>
        <v>June</v>
      </c>
      <c r="H99" s="12">
        <v>45444</v>
      </c>
      <c r="I99" s="12">
        <v>45448</v>
      </c>
      <c r="J99" s="10" t="s">
        <v>16</v>
      </c>
      <c r="K99" s="10" t="s">
        <v>29</v>
      </c>
      <c r="L99" s="10">
        <v>957.31</v>
      </c>
      <c r="M99" s="13" t="s">
        <v>77</v>
      </c>
    </row>
    <row r="100" spans="1:13">
      <c r="A100" s="4" t="s">
        <v>160</v>
      </c>
      <c r="B100" s="5" t="s">
        <v>27</v>
      </c>
      <c r="C100" s="5" t="s">
        <v>28</v>
      </c>
      <c r="D100" s="5">
        <v>1038.57</v>
      </c>
      <c r="E100" s="5">
        <v>0.49</v>
      </c>
      <c r="F100" s="5">
        <v>2</v>
      </c>
      <c r="G100" s="6" t="str">
        <f t="shared" si="1"/>
        <v>September</v>
      </c>
      <c r="H100" s="7">
        <v>45179</v>
      </c>
      <c r="I100" s="7">
        <v>45185</v>
      </c>
      <c r="J100" s="5" t="s">
        <v>42</v>
      </c>
      <c r="K100" s="5" t="s">
        <v>23</v>
      </c>
      <c r="L100" s="5">
        <v>180.83</v>
      </c>
      <c r="M100" s="8" t="s">
        <v>82</v>
      </c>
    </row>
    <row r="101" spans="1:13">
      <c r="A101" s="9" t="s">
        <v>161</v>
      </c>
      <c r="B101" s="10" t="s">
        <v>35</v>
      </c>
      <c r="C101" s="10" t="s">
        <v>47</v>
      </c>
      <c r="D101" s="10">
        <v>1734.23</v>
      </c>
      <c r="E101" s="10">
        <v>0.26</v>
      </c>
      <c r="F101" s="10">
        <v>3</v>
      </c>
      <c r="G101" s="11" t="str">
        <f t="shared" si="1"/>
        <v>March</v>
      </c>
      <c r="H101" s="12">
        <v>45011</v>
      </c>
      <c r="I101" s="12">
        <v>45012</v>
      </c>
      <c r="J101" s="10" t="s">
        <v>42</v>
      </c>
      <c r="K101" s="10" t="s">
        <v>23</v>
      </c>
      <c r="L101" s="10">
        <v>186.24</v>
      </c>
      <c r="M101" s="13" t="s">
        <v>63</v>
      </c>
    </row>
    <row r="102" spans="1:13">
      <c r="A102" s="4" t="s">
        <v>162</v>
      </c>
      <c r="B102" s="5" t="s">
        <v>14</v>
      </c>
      <c r="C102" s="5" t="s">
        <v>28</v>
      </c>
      <c r="D102" s="5">
        <v>2490.34</v>
      </c>
      <c r="E102" s="5">
        <v>0.08</v>
      </c>
      <c r="F102" s="5">
        <v>5</v>
      </c>
      <c r="G102" s="6" t="str">
        <f t="shared" si="1"/>
        <v>July</v>
      </c>
      <c r="H102" s="7">
        <v>45480</v>
      </c>
      <c r="I102" s="7">
        <v>45481</v>
      </c>
      <c r="J102" s="5" t="s">
        <v>22</v>
      </c>
      <c r="K102" s="5" t="s">
        <v>29</v>
      </c>
      <c r="L102" s="5">
        <v>306.17</v>
      </c>
      <c r="M102" s="8" t="s">
        <v>36</v>
      </c>
    </row>
    <row r="103" spans="1:13">
      <c r="A103" s="9" t="s">
        <v>163</v>
      </c>
      <c r="B103" s="10" t="s">
        <v>20</v>
      </c>
      <c r="C103" s="10" t="s">
        <v>47</v>
      </c>
      <c r="D103" s="10">
        <v>4536.76</v>
      </c>
      <c r="E103" s="10">
        <v>0.09</v>
      </c>
      <c r="F103" s="10">
        <v>4</v>
      </c>
      <c r="G103" s="11" t="str">
        <f t="shared" si="1"/>
        <v>December</v>
      </c>
      <c r="H103" s="12">
        <v>45656</v>
      </c>
      <c r="I103" s="12">
        <v>45657</v>
      </c>
      <c r="J103" s="10" t="s">
        <v>16</v>
      </c>
      <c r="K103" s="10" t="s">
        <v>23</v>
      </c>
      <c r="L103" s="10">
        <v>1077.1099999999999</v>
      </c>
      <c r="M103" s="13" t="s">
        <v>56</v>
      </c>
    </row>
    <row r="104" spans="1:13">
      <c r="A104" s="4" t="s">
        <v>164</v>
      </c>
      <c r="B104" s="5" t="s">
        <v>27</v>
      </c>
      <c r="C104" s="5" t="s">
        <v>28</v>
      </c>
      <c r="D104" s="5">
        <v>2652.24</v>
      </c>
      <c r="E104" s="5">
        <v>0.37</v>
      </c>
      <c r="F104" s="5">
        <v>5</v>
      </c>
      <c r="G104" s="6" t="str">
        <f t="shared" si="1"/>
        <v>June</v>
      </c>
      <c r="H104" s="7">
        <v>45089</v>
      </c>
      <c r="I104" s="7">
        <v>45090</v>
      </c>
      <c r="J104" s="5" t="s">
        <v>42</v>
      </c>
      <c r="K104" s="5" t="s">
        <v>23</v>
      </c>
      <c r="L104" s="5">
        <v>666.98</v>
      </c>
      <c r="M104" s="8" t="s">
        <v>24</v>
      </c>
    </row>
    <row r="105" spans="1:13">
      <c r="A105" s="9" t="s">
        <v>165</v>
      </c>
      <c r="B105" s="10" t="s">
        <v>35</v>
      </c>
      <c r="C105" s="10" t="s">
        <v>47</v>
      </c>
      <c r="D105" s="10">
        <v>4889.43</v>
      </c>
      <c r="E105" s="10">
        <v>0</v>
      </c>
      <c r="F105" s="10">
        <v>1</v>
      </c>
      <c r="G105" s="11" t="str">
        <f t="shared" si="1"/>
        <v>August</v>
      </c>
      <c r="H105" s="12">
        <v>45163</v>
      </c>
      <c r="I105" s="12">
        <v>45170</v>
      </c>
      <c r="J105" s="10" t="s">
        <v>16</v>
      </c>
      <c r="K105" s="10" t="s">
        <v>29</v>
      </c>
      <c r="L105" s="10">
        <v>777.62</v>
      </c>
      <c r="M105" s="13" t="s">
        <v>24</v>
      </c>
    </row>
    <row r="106" spans="1:13">
      <c r="A106" s="4" t="s">
        <v>166</v>
      </c>
      <c r="B106" s="5" t="s">
        <v>14</v>
      </c>
      <c r="C106" s="5" t="s">
        <v>28</v>
      </c>
      <c r="D106" s="5">
        <v>4920.82</v>
      </c>
      <c r="E106" s="5">
        <v>0.33</v>
      </c>
      <c r="F106" s="5">
        <v>1</v>
      </c>
      <c r="G106" s="6" t="str">
        <f t="shared" si="1"/>
        <v>March</v>
      </c>
      <c r="H106" s="7">
        <v>45008</v>
      </c>
      <c r="I106" s="7">
        <v>45013</v>
      </c>
      <c r="J106" s="5" t="s">
        <v>22</v>
      </c>
      <c r="K106" s="5" t="s">
        <v>17</v>
      </c>
      <c r="L106" s="5">
        <v>483.88</v>
      </c>
      <c r="M106" s="8" t="s">
        <v>113</v>
      </c>
    </row>
    <row r="107" spans="1:13">
      <c r="A107" s="9" t="s">
        <v>167</v>
      </c>
      <c r="B107" s="10" t="s">
        <v>20</v>
      </c>
      <c r="C107" s="10" t="s">
        <v>47</v>
      </c>
      <c r="D107" s="10">
        <v>3033.06</v>
      </c>
      <c r="E107" s="10">
        <v>0.08</v>
      </c>
      <c r="F107" s="10">
        <v>2</v>
      </c>
      <c r="G107" s="11" t="str">
        <f t="shared" si="1"/>
        <v>August</v>
      </c>
      <c r="H107" s="12">
        <v>45516</v>
      </c>
      <c r="I107" s="12">
        <v>45517</v>
      </c>
      <c r="J107" s="10" t="s">
        <v>16</v>
      </c>
      <c r="K107" s="10" t="s">
        <v>23</v>
      </c>
      <c r="L107" s="10">
        <v>587.57000000000005</v>
      </c>
      <c r="M107" s="13" t="s">
        <v>74</v>
      </c>
    </row>
    <row r="108" spans="1:13">
      <c r="A108" s="4" t="s">
        <v>168</v>
      </c>
      <c r="B108" s="5" t="s">
        <v>27</v>
      </c>
      <c r="C108" s="5" t="s">
        <v>21</v>
      </c>
      <c r="D108" s="5">
        <v>4399.7299999999996</v>
      </c>
      <c r="E108" s="5">
        <v>0.49</v>
      </c>
      <c r="F108" s="5">
        <v>2</v>
      </c>
      <c r="G108" s="6" t="str">
        <f t="shared" si="1"/>
        <v>February</v>
      </c>
      <c r="H108" s="7">
        <v>45328</v>
      </c>
      <c r="I108" s="7">
        <v>45333</v>
      </c>
      <c r="J108" s="5" t="s">
        <v>42</v>
      </c>
      <c r="K108" s="5" t="s">
        <v>29</v>
      </c>
      <c r="L108" s="5">
        <v>660.08</v>
      </c>
      <c r="M108" s="8" t="s">
        <v>77</v>
      </c>
    </row>
    <row r="109" spans="1:13">
      <c r="A109" s="9" t="s">
        <v>169</v>
      </c>
      <c r="B109" s="10" t="s">
        <v>35</v>
      </c>
      <c r="C109" s="10" t="s">
        <v>52</v>
      </c>
      <c r="D109" s="10">
        <v>4996.1899999999996</v>
      </c>
      <c r="E109" s="10">
        <v>0.08</v>
      </c>
      <c r="F109" s="10">
        <v>8</v>
      </c>
      <c r="G109" s="11" t="str">
        <f t="shared" si="1"/>
        <v>May</v>
      </c>
      <c r="H109" s="12">
        <v>45074</v>
      </c>
      <c r="I109" s="12">
        <v>45076</v>
      </c>
      <c r="J109" s="10" t="s">
        <v>16</v>
      </c>
      <c r="K109" s="10" t="s">
        <v>23</v>
      </c>
      <c r="L109" s="10">
        <v>1047.8699999999999</v>
      </c>
      <c r="M109" s="13" t="s">
        <v>25</v>
      </c>
    </row>
    <row r="110" spans="1:13">
      <c r="A110" s="4" t="s">
        <v>170</v>
      </c>
      <c r="B110" s="5" t="s">
        <v>14</v>
      </c>
      <c r="C110" s="5" t="s">
        <v>47</v>
      </c>
      <c r="D110" s="5">
        <v>4263.6099999999997</v>
      </c>
      <c r="E110" s="5">
        <v>0.28000000000000003</v>
      </c>
      <c r="F110" s="5">
        <v>4</v>
      </c>
      <c r="G110" s="6" t="str">
        <f t="shared" si="1"/>
        <v>March</v>
      </c>
      <c r="H110" s="7">
        <v>45363</v>
      </c>
      <c r="I110" s="7">
        <v>45364</v>
      </c>
      <c r="J110" s="5" t="s">
        <v>22</v>
      </c>
      <c r="K110" s="5" t="s">
        <v>23</v>
      </c>
      <c r="L110" s="5">
        <v>1092.43</v>
      </c>
      <c r="M110" s="8" t="s">
        <v>70</v>
      </c>
    </row>
    <row r="111" spans="1:13">
      <c r="A111" s="9" t="s">
        <v>171</v>
      </c>
      <c r="B111" s="10" t="s">
        <v>20</v>
      </c>
      <c r="C111" s="10" t="s">
        <v>52</v>
      </c>
      <c r="D111" s="10">
        <v>3318.86</v>
      </c>
      <c r="E111" s="10">
        <v>0.33</v>
      </c>
      <c r="F111" s="10">
        <v>6</v>
      </c>
      <c r="G111" s="11" t="str">
        <f t="shared" si="1"/>
        <v>September</v>
      </c>
      <c r="H111" s="12">
        <v>45547</v>
      </c>
      <c r="I111" s="12">
        <v>45554</v>
      </c>
      <c r="J111" s="10" t="s">
        <v>16</v>
      </c>
      <c r="K111" s="10" t="s">
        <v>17</v>
      </c>
      <c r="L111" s="10">
        <v>604.07000000000005</v>
      </c>
      <c r="M111" s="13" t="s">
        <v>54</v>
      </c>
    </row>
    <row r="112" spans="1:13">
      <c r="A112" s="4" t="s">
        <v>172</v>
      </c>
      <c r="B112" s="5" t="s">
        <v>27</v>
      </c>
      <c r="C112" s="5" t="s">
        <v>21</v>
      </c>
      <c r="D112" s="5">
        <v>4241.1499999999996</v>
      </c>
      <c r="E112" s="5">
        <v>0.41</v>
      </c>
      <c r="F112" s="5">
        <v>2</v>
      </c>
      <c r="G112" s="6" t="str">
        <f t="shared" si="1"/>
        <v>July</v>
      </c>
      <c r="H112" s="7">
        <v>45486</v>
      </c>
      <c r="I112" s="7">
        <v>45487</v>
      </c>
      <c r="J112" s="5" t="s">
        <v>16</v>
      </c>
      <c r="K112" s="5" t="s">
        <v>23</v>
      </c>
      <c r="L112" s="5">
        <v>1168.31</v>
      </c>
      <c r="M112" s="8" t="s">
        <v>82</v>
      </c>
    </row>
    <row r="113" spans="1:13">
      <c r="A113" s="9" t="s">
        <v>173</v>
      </c>
      <c r="B113" s="10" t="s">
        <v>35</v>
      </c>
      <c r="C113" s="10" t="s">
        <v>21</v>
      </c>
      <c r="D113" s="10">
        <v>505.01</v>
      </c>
      <c r="E113" s="10">
        <v>0.23</v>
      </c>
      <c r="F113" s="10">
        <v>1</v>
      </c>
      <c r="G113" s="11" t="str">
        <f t="shared" si="1"/>
        <v>June</v>
      </c>
      <c r="H113" s="12">
        <v>45081</v>
      </c>
      <c r="I113" s="12">
        <v>45088</v>
      </c>
      <c r="J113" s="10" t="s">
        <v>16</v>
      </c>
      <c r="K113" s="10" t="s">
        <v>23</v>
      </c>
      <c r="L113" s="10">
        <v>71.8</v>
      </c>
      <c r="M113" s="13" t="s">
        <v>87</v>
      </c>
    </row>
    <row r="114" spans="1:13">
      <c r="A114" s="4" t="s">
        <v>174</v>
      </c>
      <c r="B114" s="5" t="s">
        <v>14</v>
      </c>
      <c r="C114" s="5" t="s">
        <v>28</v>
      </c>
      <c r="D114" s="5">
        <v>3210.62</v>
      </c>
      <c r="E114" s="5">
        <v>0.47</v>
      </c>
      <c r="F114" s="5">
        <v>7</v>
      </c>
      <c r="G114" s="6" t="str">
        <f t="shared" si="1"/>
        <v>August</v>
      </c>
      <c r="H114" s="7">
        <v>45514</v>
      </c>
      <c r="I114" s="7">
        <v>45518</v>
      </c>
      <c r="J114" s="5" t="s">
        <v>16</v>
      </c>
      <c r="K114" s="5" t="s">
        <v>23</v>
      </c>
      <c r="L114" s="5">
        <v>546.45000000000005</v>
      </c>
      <c r="M114" s="8" t="s">
        <v>77</v>
      </c>
    </row>
    <row r="115" spans="1:13">
      <c r="A115" s="9" t="s">
        <v>175</v>
      </c>
      <c r="B115" s="10" t="s">
        <v>20</v>
      </c>
      <c r="C115" s="10" t="s">
        <v>52</v>
      </c>
      <c r="D115" s="10">
        <v>1160.96</v>
      </c>
      <c r="E115" s="10">
        <v>0.24</v>
      </c>
      <c r="F115" s="10">
        <v>4</v>
      </c>
      <c r="G115" s="11" t="str">
        <f t="shared" si="1"/>
        <v>May</v>
      </c>
      <c r="H115" s="12">
        <v>45055</v>
      </c>
      <c r="I115" s="12">
        <v>45057</v>
      </c>
      <c r="J115" s="10" t="s">
        <v>42</v>
      </c>
      <c r="K115" s="10" t="s">
        <v>29</v>
      </c>
      <c r="L115" s="10">
        <v>223.68</v>
      </c>
      <c r="M115" s="13" t="s">
        <v>77</v>
      </c>
    </row>
    <row r="116" spans="1:13">
      <c r="A116" s="4" t="s">
        <v>176</v>
      </c>
      <c r="B116" s="5" t="s">
        <v>27</v>
      </c>
      <c r="C116" s="5" t="s">
        <v>15</v>
      </c>
      <c r="D116" s="5">
        <v>668.71</v>
      </c>
      <c r="E116" s="5">
        <v>0.13</v>
      </c>
      <c r="F116" s="5">
        <v>4</v>
      </c>
      <c r="G116" s="6" t="str">
        <f t="shared" si="1"/>
        <v>April</v>
      </c>
      <c r="H116" s="7">
        <v>45045</v>
      </c>
      <c r="I116" s="7">
        <v>45047</v>
      </c>
      <c r="J116" s="5" t="s">
        <v>16</v>
      </c>
      <c r="K116" s="5" t="s">
        <v>23</v>
      </c>
      <c r="L116" s="5">
        <v>153.62</v>
      </c>
      <c r="M116" s="8" t="s">
        <v>84</v>
      </c>
    </row>
    <row r="117" spans="1:13">
      <c r="A117" s="9" t="s">
        <v>177</v>
      </c>
      <c r="B117" s="10" t="s">
        <v>35</v>
      </c>
      <c r="C117" s="10" t="s">
        <v>28</v>
      </c>
      <c r="D117" s="10">
        <v>4475.07</v>
      </c>
      <c r="E117" s="10">
        <v>0.3</v>
      </c>
      <c r="F117" s="10">
        <v>2</v>
      </c>
      <c r="G117" s="11" t="str">
        <f t="shared" si="1"/>
        <v>September</v>
      </c>
      <c r="H117" s="12">
        <v>45196</v>
      </c>
      <c r="I117" s="12">
        <v>45197</v>
      </c>
      <c r="J117" s="10" t="s">
        <v>22</v>
      </c>
      <c r="K117" s="10" t="s">
        <v>23</v>
      </c>
      <c r="L117" s="10">
        <v>815.29</v>
      </c>
      <c r="M117" s="13" t="s">
        <v>24</v>
      </c>
    </row>
    <row r="118" spans="1:13">
      <c r="A118" s="4" t="s">
        <v>178</v>
      </c>
      <c r="B118" s="5" t="s">
        <v>14</v>
      </c>
      <c r="C118" s="5" t="s">
        <v>52</v>
      </c>
      <c r="D118" s="5">
        <v>3234.26</v>
      </c>
      <c r="E118" s="5">
        <v>0.33</v>
      </c>
      <c r="F118" s="5">
        <v>9</v>
      </c>
      <c r="G118" s="6" t="str">
        <f t="shared" si="1"/>
        <v>February</v>
      </c>
      <c r="H118" s="7">
        <v>45342</v>
      </c>
      <c r="I118" s="7">
        <v>45349</v>
      </c>
      <c r="J118" s="5" t="s">
        <v>16</v>
      </c>
      <c r="K118" s="5" t="s">
        <v>29</v>
      </c>
      <c r="L118" s="5">
        <v>817.55</v>
      </c>
      <c r="M118" s="8" t="s">
        <v>113</v>
      </c>
    </row>
    <row r="119" spans="1:13">
      <c r="A119" s="9" t="s">
        <v>179</v>
      </c>
      <c r="B119" s="10" t="s">
        <v>20</v>
      </c>
      <c r="C119" s="10" t="s">
        <v>47</v>
      </c>
      <c r="D119" s="10">
        <v>1293.3800000000001</v>
      </c>
      <c r="E119" s="10">
        <v>0.25</v>
      </c>
      <c r="F119" s="10">
        <v>2</v>
      </c>
      <c r="G119" s="11" t="str">
        <f t="shared" si="1"/>
        <v>January</v>
      </c>
      <c r="H119" s="12">
        <v>44936</v>
      </c>
      <c r="I119" s="12">
        <v>44938</v>
      </c>
      <c r="J119" s="10" t="s">
        <v>22</v>
      </c>
      <c r="K119" s="10" t="s">
        <v>23</v>
      </c>
      <c r="L119" s="10">
        <v>289.92</v>
      </c>
      <c r="M119" s="13" t="s">
        <v>18</v>
      </c>
    </row>
    <row r="120" spans="1:13">
      <c r="A120" s="4" t="s">
        <v>180</v>
      </c>
      <c r="B120" s="5" t="s">
        <v>27</v>
      </c>
      <c r="C120" s="5" t="s">
        <v>47</v>
      </c>
      <c r="D120" s="5">
        <v>1995.23</v>
      </c>
      <c r="E120" s="5">
        <v>0.37</v>
      </c>
      <c r="F120" s="5">
        <v>5</v>
      </c>
      <c r="G120" s="6" t="str">
        <f t="shared" si="1"/>
        <v>February</v>
      </c>
      <c r="H120" s="7">
        <v>45336</v>
      </c>
      <c r="I120" s="7">
        <v>45339</v>
      </c>
      <c r="J120" s="5" t="s">
        <v>22</v>
      </c>
      <c r="K120" s="5" t="s">
        <v>23</v>
      </c>
      <c r="L120" s="5">
        <v>274.36</v>
      </c>
      <c r="M120" s="8" t="s">
        <v>87</v>
      </c>
    </row>
    <row r="121" spans="1:13">
      <c r="A121" s="9" t="s">
        <v>181</v>
      </c>
      <c r="B121" s="10" t="s">
        <v>35</v>
      </c>
      <c r="C121" s="10" t="s">
        <v>21</v>
      </c>
      <c r="D121" s="10">
        <v>4869.0600000000004</v>
      </c>
      <c r="E121" s="10">
        <v>0.21</v>
      </c>
      <c r="F121" s="10">
        <v>6</v>
      </c>
      <c r="G121" s="11" t="str">
        <f t="shared" si="1"/>
        <v>August</v>
      </c>
      <c r="H121" s="12">
        <v>45149</v>
      </c>
      <c r="I121" s="12">
        <v>45155</v>
      </c>
      <c r="J121" s="10" t="s">
        <v>22</v>
      </c>
      <c r="K121" s="10" t="s">
        <v>23</v>
      </c>
      <c r="L121" s="10">
        <v>1022.41</v>
      </c>
      <c r="M121" s="13" t="s">
        <v>25</v>
      </c>
    </row>
    <row r="122" spans="1:13">
      <c r="A122" s="4" t="s">
        <v>182</v>
      </c>
      <c r="B122" s="5" t="s">
        <v>14</v>
      </c>
      <c r="C122" s="5" t="s">
        <v>15</v>
      </c>
      <c r="D122" s="5">
        <v>4324.6899999999996</v>
      </c>
      <c r="E122" s="5">
        <v>0</v>
      </c>
      <c r="F122" s="5">
        <v>3</v>
      </c>
      <c r="G122" s="6" t="str">
        <f t="shared" si="1"/>
        <v>July</v>
      </c>
      <c r="H122" s="7">
        <v>45503</v>
      </c>
      <c r="I122" s="7">
        <v>45507</v>
      </c>
      <c r="J122" s="5" t="s">
        <v>22</v>
      </c>
      <c r="K122" s="5" t="s">
        <v>17</v>
      </c>
      <c r="L122" s="5">
        <v>558.65</v>
      </c>
      <c r="M122" s="8" t="s">
        <v>70</v>
      </c>
    </row>
    <row r="123" spans="1:13">
      <c r="A123" s="9" t="s">
        <v>183</v>
      </c>
      <c r="B123" s="10" t="s">
        <v>20</v>
      </c>
      <c r="C123" s="10" t="s">
        <v>47</v>
      </c>
      <c r="D123" s="10">
        <v>176.35</v>
      </c>
      <c r="E123" s="10">
        <v>0.13</v>
      </c>
      <c r="F123" s="10">
        <v>3</v>
      </c>
      <c r="G123" s="11" t="str">
        <f t="shared" si="1"/>
        <v>June</v>
      </c>
      <c r="H123" s="12">
        <v>45104</v>
      </c>
      <c r="I123" s="12">
        <v>45106</v>
      </c>
      <c r="J123" s="10" t="s">
        <v>42</v>
      </c>
      <c r="K123" s="10" t="s">
        <v>29</v>
      </c>
      <c r="L123" s="10">
        <v>40.409999999999997</v>
      </c>
      <c r="M123" s="13" t="s">
        <v>25</v>
      </c>
    </row>
    <row r="124" spans="1:13">
      <c r="A124" s="4" t="s">
        <v>184</v>
      </c>
      <c r="B124" s="5" t="s">
        <v>27</v>
      </c>
      <c r="C124" s="5" t="s">
        <v>52</v>
      </c>
      <c r="D124" s="5">
        <v>4901.0200000000004</v>
      </c>
      <c r="E124" s="5">
        <v>0.47</v>
      </c>
      <c r="F124" s="5">
        <v>6</v>
      </c>
      <c r="G124" s="6" t="str">
        <f t="shared" si="1"/>
        <v>June</v>
      </c>
      <c r="H124" s="7">
        <v>45103</v>
      </c>
      <c r="I124" s="7">
        <v>45106</v>
      </c>
      <c r="J124" s="5" t="s">
        <v>16</v>
      </c>
      <c r="K124" s="5" t="s">
        <v>29</v>
      </c>
      <c r="L124" s="5">
        <v>1045.7</v>
      </c>
      <c r="M124" s="8" t="s">
        <v>30</v>
      </c>
    </row>
    <row r="125" spans="1:13">
      <c r="A125" s="9" t="s">
        <v>185</v>
      </c>
      <c r="B125" s="10" t="s">
        <v>35</v>
      </c>
      <c r="C125" s="10" t="s">
        <v>52</v>
      </c>
      <c r="D125" s="10">
        <v>1905.79</v>
      </c>
      <c r="E125" s="10">
        <v>0.38</v>
      </c>
      <c r="F125" s="10">
        <v>5</v>
      </c>
      <c r="G125" s="11" t="str">
        <f t="shared" si="1"/>
        <v>June</v>
      </c>
      <c r="H125" s="12">
        <v>45470</v>
      </c>
      <c r="I125" s="12">
        <v>45477</v>
      </c>
      <c r="J125" s="10" t="s">
        <v>16</v>
      </c>
      <c r="K125" s="10" t="s">
        <v>29</v>
      </c>
      <c r="L125" s="10">
        <v>179.78</v>
      </c>
      <c r="M125" s="13" t="s">
        <v>37</v>
      </c>
    </row>
    <row r="126" spans="1:13">
      <c r="A126" s="4" t="s">
        <v>186</v>
      </c>
      <c r="B126" s="5" t="s">
        <v>14</v>
      </c>
      <c r="C126" s="5" t="s">
        <v>47</v>
      </c>
      <c r="D126" s="5">
        <v>3507.55</v>
      </c>
      <c r="E126" s="5">
        <v>0.09</v>
      </c>
      <c r="F126" s="5">
        <v>5</v>
      </c>
      <c r="G126" s="6" t="str">
        <f t="shared" si="1"/>
        <v>July</v>
      </c>
      <c r="H126" s="7">
        <v>45503</v>
      </c>
      <c r="I126" s="7">
        <v>45504</v>
      </c>
      <c r="J126" s="5" t="s">
        <v>42</v>
      </c>
      <c r="K126" s="5" t="s">
        <v>17</v>
      </c>
      <c r="L126" s="5">
        <v>789.67</v>
      </c>
      <c r="M126" s="8" t="s">
        <v>36</v>
      </c>
    </row>
    <row r="127" spans="1:13">
      <c r="A127" s="9" t="s">
        <v>187</v>
      </c>
      <c r="B127" s="10" t="s">
        <v>20</v>
      </c>
      <c r="C127" s="10" t="s">
        <v>52</v>
      </c>
      <c r="D127" s="10">
        <v>3592.12</v>
      </c>
      <c r="E127" s="10">
        <v>0.03</v>
      </c>
      <c r="F127" s="10">
        <v>5</v>
      </c>
      <c r="G127" s="11" t="str">
        <f t="shared" si="1"/>
        <v>January</v>
      </c>
      <c r="H127" s="12">
        <v>44952</v>
      </c>
      <c r="I127" s="12">
        <v>44956</v>
      </c>
      <c r="J127" s="10" t="s">
        <v>16</v>
      </c>
      <c r="K127" s="10" t="s">
        <v>29</v>
      </c>
      <c r="L127" s="10">
        <v>296.98</v>
      </c>
      <c r="M127" s="13" t="s">
        <v>87</v>
      </c>
    </row>
    <row r="128" spans="1:13">
      <c r="A128" s="4" t="s">
        <v>188</v>
      </c>
      <c r="B128" s="5" t="s">
        <v>27</v>
      </c>
      <c r="C128" s="5" t="s">
        <v>52</v>
      </c>
      <c r="D128" s="5">
        <v>4567.25</v>
      </c>
      <c r="E128" s="5">
        <v>0.18</v>
      </c>
      <c r="F128" s="5">
        <v>9</v>
      </c>
      <c r="G128" s="6" t="str">
        <f t="shared" si="1"/>
        <v>July</v>
      </c>
      <c r="H128" s="7">
        <v>45123</v>
      </c>
      <c r="I128" s="7">
        <v>45129</v>
      </c>
      <c r="J128" s="5" t="s">
        <v>42</v>
      </c>
      <c r="K128" s="5" t="s">
        <v>29</v>
      </c>
      <c r="L128" s="5">
        <v>333.34</v>
      </c>
      <c r="M128" s="8" t="s">
        <v>24</v>
      </c>
    </row>
    <row r="129" spans="1:13">
      <c r="A129" s="9" t="s">
        <v>189</v>
      </c>
      <c r="B129" s="10" t="s">
        <v>35</v>
      </c>
      <c r="C129" s="10" t="s">
        <v>21</v>
      </c>
      <c r="D129" s="10">
        <v>4436.8</v>
      </c>
      <c r="E129" s="10">
        <v>0.42</v>
      </c>
      <c r="F129" s="10">
        <v>8</v>
      </c>
      <c r="G129" s="11" t="str">
        <f t="shared" si="1"/>
        <v>February</v>
      </c>
      <c r="H129" s="12">
        <v>45336</v>
      </c>
      <c r="I129" s="12">
        <v>45340</v>
      </c>
      <c r="J129" s="10" t="s">
        <v>22</v>
      </c>
      <c r="K129" s="10" t="s">
        <v>29</v>
      </c>
      <c r="L129" s="10">
        <v>934.84</v>
      </c>
      <c r="M129" s="13" t="s">
        <v>30</v>
      </c>
    </row>
    <row r="130" spans="1:13">
      <c r="A130" s="4" t="s">
        <v>190</v>
      </c>
      <c r="B130" s="5" t="s">
        <v>14</v>
      </c>
      <c r="C130" s="5" t="s">
        <v>15</v>
      </c>
      <c r="D130" s="5">
        <v>1480.47</v>
      </c>
      <c r="E130" s="5">
        <v>0.05</v>
      </c>
      <c r="F130" s="5">
        <v>4</v>
      </c>
      <c r="G130" s="6" t="str">
        <f t="shared" ref="G130:G193" si="2">TEXT(H130,"mmmm")</f>
        <v>March</v>
      </c>
      <c r="H130" s="7">
        <v>44991</v>
      </c>
      <c r="I130" s="7">
        <v>44995</v>
      </c>
      <c r="J130" s="5" t="s">
        <v>16</v>
      </c>
      <c r="K130" s="5" t="s">
        <v>23</v>
      </c>
      <c r="L130" s="5">
        <v>197.42</v>
      </c>
      <c r="M130" s="8" t="s">
        <v>54</v>
      </c>
    </row>
    <row r="131" spans="1:13">
      <c r="A131" s="9" t="s">
        <v>191</v>
      </c>
      <c r="B131" s="10" t="s">
        <v>20</v>
      </c>
      <c r="C131" s="10" t="s">
        <v>21</v>
      </c>
      <c r="D131" s="10">
        <v>3253.32</v>
      </c>
      <c r="E131" s="10">
        <v>0.27</v>
      </c>
      <c r="F131" s="10">
        <v>6</v>
      </c>
      <c r="G131" s="11" t="str">
        <f t="shared" si="2"/>
        <v>April</v>
      </c>
      <c r="H131" s="12">
        <v>45404</v>
      </c>
      <c r="I131" s="12">
        <v>45407</v>
      </c>
      <c r="J131" s="10" t="s">
        <v>22</v>
      </c>
      <c r="K131" s="10" t="s">
        <v>17</v>
      </c>
      <c r="L131" s="10">
        <v>293.39999999999998</v>
      </c>
      <c r="M131" s="13" t="s">
        <v>18</v>
      </c>
    </row>
    <row r="132" spans="1:13">
      <c r="A132" s="4" t="s">
        <v>192</v>
      </c>
      <c r="B132" s="5" t="s">
        <v>27</v>
      </c>
      <c r="C132" s="5" t="s">
        <v>15</v>
      </c>
      <c r="D132" s="5">
        <v>2029.16</v>
      </c>
      <c r="E132" s="5">
        <v>0.14000000000000001</v>
      </c>
      <c r="F132" s="5">
        <v>5</v>
      </c>
      <c r="G132" s="6" t="str">
        <f t="shared" si="2"/>
        <v>January</v>
      </c>
      <c r="H132" s="7">
        <v>45322</v>
      </c>
      <c r="I132" s="7">
        <v>45327</v>
      </c>
      <c r="J132" s="5" t="s">
        <v>16</v>
      </c>
      <c r="K132" s="5" t="s">
        <v>23</v>
      </c>
      <c r="L132" s="5">
        <v>602.37</v>
      </c>
      <c r="M132" s="8" t="s">
        <v>37</v>
      </c>
    </row>
    <row r="133" spans="1:13">
      <c r="A133" s="9" t="s">
        <v>193</v>
      </c>
      <c r="B133" s="10" t="s">
        <v>35</v>
      </c>
      <c r="C133" s="10" t="s">
        <v>52</v>
      </c>
      <c r="D133" s="10">
        <v>2675.16</v>
      </c>
      <c r="E133" s="10">
        <v>0.36</v>
      </c>
      <c r="F133" s="10">
        <v>6</v>
      </c>
      <c r="G133" s="11" t="str">
        <f t="shared" si="2"/>
        <v>April</v>
      </c>
      <c r="H133" s="12">
        <v>45410</v>
      </c>
      <c r="I133" s="12">
        <v>45414</v>
      </c>
      <c r="J133" s="10" t="s">
        <v>16</v>
      </c>
      <c r="K133" s="10" t="s">
        <v>29</v>
      </c>
      <c r="L133" s="10">
        <v>715.56</v>
      </c>
      <c r="M133" s="13" t="s">
        <v>87</v>
      </c>
    </row>
    <row r="134" spans="1:13">
      <c r="A134" s="4" t="s">
        <v>194</v>
      </c>
      <c r="B134" s="5" t="s">
        <v>14</v>
      </c>
      <c r="C134" s="5" t="s">
        <v>15</v>
      </c>
      <c r="D134" s="5">
        <v>2817.92</v>
      </c>
      <c r="E134" s="5">
        <v>0</v>
      </c>
      <c r="F134" s="5">
        <v>8</v>
      </c>
      <c r="G134" s="6" t="str">
        <f t="shared" si="2"/>
        <v>October</v>
      </c>
      <c r="H134" s="7">
        <v>45590</v>
      </c>
      <c r="I134" s="7">
        <v>45593</v>
      </c>
      <c r="J134" s="5" t="s">
        <v>16</v>
      </c>
      <c r="K134" s="5" t="s">
        <v>23</v>
      </c>
      <c r="L134" s="5">
        <v>265.5</v>
      </c>
      <c r="M134" s="8" t="s">
        <v>70</v>
      </c>
    </row>
    <row r="135" spans="1:13">
      <c r="A135" s="9" t="s">
        <v>195</v>
      </c>
      <c r="B135" s="10" t="s">
        <v>20</v>
      </c>
      <c r="C135" s="10" t="s">
        <v>52</v>
      </c>
      <c r="D135" s="10">
        <v>2042.08</v>
      </c>
      <c r="E135" s="10">
        <v>0.14000000000000001</v>
      </c>
      <c r="F135" s="10">
        <v>6</v>
      </c>
      <c r="G135" s="11" t="str">
        <f t="shared" si="2"/>
        <v>July</v>
      </c>
      <c r="H135" s="12">
        <v>45109</v>
      </c>
      <c r="I135" s="12">
        <v>45115</v>
      </c>
      <c r="J135" s="10" t="s">
        <v>22</v>
      </c>
      <c r="K135" s="10" t="s">
        <v>29</v>
      </c>
      <c r="L135" s="10">
        <v>583.83000000000004</v>
      </c>
      <c r="M135" s="13" t="s">
        <v>113</v>
      </c>
    </row>
    <row r="136" spans="1:13">
      <c r="A136" s="4" t="s">
        <v>196</v>
      </c>
      <c r="B136" s="5" t="s">
        <v>27</v>
      </c>
      <c r="C136" s="5" t="s">
        <v>52</v>
      </c>
      <c r="D136" s="5">
        <v>2373.08</v>
      </c>
      <c r="E136" s="5">
        <v>0.34</v>
      </c>
      <c r="F136" s="5">
        <v>6</v>
      </c>
      <c r="G136" s="6" t="str">
        <f t="shared" si="2"/>
        <v>August</v>
      </c>
      <c r="H136" s="7">
        <v>45527</v>
      </c>
      <c r="I136" s="7">
        <v>45534</v>
      </c>
      <c r="J136" s="5" t="s">
        <v>42</v>
      </c>
      <c r="K136" s="5" t="s">
        <v>23</v>
      </c>
      <c r="L136" s="5">
        <v>478.2</v>
      </c>
      <c r="M136" s="8" t="s">
        <v>59</v>
      </c>
    </row>
    <row r="137" spans="1:13">
      <c r="A137" s="9" t="s">
        <v>197</v>
      </c>
      <c r="B137" s="10" t="s">
        <v>35</v>
      </c>
      <c r="C137" s="10" t="s">
        <v>21</v>
      </c>
      <c r="D137" s="10">
        <v>1120.8800000000001</v>
      </c>
      <c r="E137" s="10">
        <v>0.27</v>
      </c>
      <c r="F137" s="10">
        <v>2</v>
      </c>
      <c r="G137" s="11" t="str">
        <f t="shared" si="2"/>
        <v>September</v>
      </c>
      <c r="H137" s="12">
        <v>45190</v>
      </c>
      <c r="I137" s="12">
        <v>45195</v>
      </c>
      <c r="J137" s="10" t="s">
        <v>22</v>
      </c>
      <c r="K137" s="10" t="s">
        <v>23</v>
      </c>
      <c r="L137" s="10">
        <v>201.73</v>
      </c>
      <c r="M137" s="13" t="s">
        <v>59</v>
      </c>
    </row>
    <row r="138" spans="1:13">
      <c r="A138" s="4" t="s">
        <v>198</v>
      </c>
      <c r="B138" s="5" t="s">
        <v>14</v>
      </c>
      <c r="C138" s="5" t="s">
        <v>21</v>
      </c>
      <c r="D138" s="5">
        <v>3077.47</v>
      </c>
      <c r="E138" s="5">
        <v>0.39</v>
      </c>
      <c r="F138" s="5">
        <v>7</v>
      </c>
      <c r="G138" s="6" t="str">
        <f t="shared" si="2"/>
        <v>December</v>
      </c>
      <c r="H138" s="7">
        <v>45627</v>
      </c>
      <c r="I138" s="7">
        <v>45634</v>
      </c>
      <c r="J138" s="5" t="s">
        <v>42</v>
      </c>
      <c r="K138" s="5" t="s">
        <v>17</v>
      </c>
      <c r="L138" s="5">
        <v>428.41</v>
      </c>
      <c r="M138" s="8" t="s">
        <v>54</v>
      </c>
    </row>
    <row r="139" spans="1:13">
      <c r="A139" s="9" t="s">
        <v>199</v>
      </c>
      <c r="B139" s="10" t="s">
        <v>20</v>
      </c>
      <c r="C139" s="10" t="s">
        <v>28</v>
      </c>
      <c r="D139" s="10">
        <v>3818.9</v>
      </c>
      <c r="E139" s="10">
        <v>0.08</v>
      </c>
      <c r="F139" s="10">
        <v>3</v>
      </c>
      <c r="G139" s="11" t="str">
        <f t="shared" si="2"/>
        <v>January</v>
      </c>
      <c r="H139" s="12">
        <v>44953</v>
      </c>
      <c r="I139" s="12">
        <v>44956</v>
      </c>
      <c r="J139" s="10" t="s">
        <v>16</v>
      </c>
      <c r="K139" s="10" t="s">
        <v>29</v>
      </c>
      <c r="L139" s="10">
        <v>497.78</v>
      </c>
      <c r="M139" s="13" t="s">
        <v>54</v>
      </c>
    </row>
    <row r="140" spans="1:13">
      <c r="A140" s="4" t="s">
        <v>200</v>
      </c>
      <c r="B140" s="5" t="s">
        <v>27</v>
      </c>
      <c r="C140" s="5" t="s">
        <v>47</v>
      </c>
      <c r="D140" s="5">
        <v>2205.73</v>
      </c>
      <c r="E140" s="5">
        <v>0.27</v>
      </c>
      <c r="F140" s="5">
        <v>7</v>
      </c>
      <c r="G140" s="6" t="str">
        <f t="shared" si="2"/>
        <v>September</v>
      </c>
      <c r="H140" s="7">
        <v>45177</v>
      </c>
      <c r="I140" s="7">
        <v>45180</v>
      </c>
      <c r="J140" s="5" t="s">
        <v>16</v>
      </c>
      <c r="K140" s="5" t="s">
        <v>17</v>
      </c>
      <c r="L140" s="5">
        <v>167.08</v>
      </c>
      <c r="M140" s="8" t="s">
        <v>54</v>
      </c>
    </row>
    <row r="141" spans="1:13">
      <c r="A141" s="9" t="s">
        <v>201</v>
      </c>
      <c r="B141" s="10" t="s">
        <v>35</v>
      </c>
      <c r="C141" s="10" t="s">
        <v>28</v>
      </c>
      <c r="D141" s="10">
        <v>4890.63</v>
      </c>
      <c r="E141" s="10">
        <v>0.1</v>
      </c>
      <c r="F141" s="10">
        <v>5</v>
      </c>
      <c r="G141" s="11" t="str">
        <f t="shared" si="2"/>
        <v>May</v>
      </c>
      <c r="H141" s="12">
        <v>45434</v>
      </c>
      <c r="I141" s="12">
        <v>45437</v>
      </c>
      <c r="J141" s="10" t="s">
        <v>16</v>
      </c>
      <c r="K141" s="10" t="s">
        <v>29</v>
      </c>
      <c r="L141" s="10">
        <v>466.35</v>
      </c>
      <c r="M141" s="13" t="s">
        <v>70</v>
      </c>
    </row>
    <row r="142" spans="1:13">
      <c r="A142" s="4" t="s">
        <v>202</v>
      </c>
      <c r="B142" s="5" t="s">
        <v>14</v>
      </c>
      <c r="C142" s="5" t="s">
        <v>28</v>
      </c>
      <c r="D142" s="5">
        <v>380.41</v>
      </c>
      <c r="E142" s="5">
        <v>0.32</v>
      </c>
      <c r="F142" s="5">
        <v>4</v>
      </c>
      <c r="G142" s="6" t="str">
        <f t="shared" si="2"/>
        <v>December</v>
      </c>
      <c r="H142" s="7">
        <v>45629</v>
      </c>
      <c r="I142" s="7">
        <v>45633</v>
      </c>
      <c r="J142" s="5" t="s">
        <v>16</v>
      </c>
      <c r="K142" s="5" t="s">
        <v>29</v>
      </c>
      <c r="L142" s="5">
        <v>44.61</v>
      </c>
      <c r="M142" s="8" t="s">
        <v>84</v>
      </c>
    </row>
    <row r="143" spans="1:13">
      <c r="A143" s="9" t="s">
        <v>203</v>
      </c>
      <c r="B143" s="10" t="s">
        <v>20</v>
      </c>
      <c r="C143" s="10" t="s">
        <v>15</v>
      </c>
      <c r="D143" s="10">
        <v>2986.89</v>
      </c>
      <c r="E143" s="10">
        <v>7.0000000000000007E-2</v>
      </c>
      <c r="F143" s="10">
        <v>1</v>
      </c>
      <c r="G143" s="11" t="str">
        <f t="shared" si="2"/>
        <v>May</v>
      </c>
      <c r="H143" s="12">
        <v>45054</v>
      </c>
      <c r="I143" s="12">
        <v>45055</v>
      </c>
      <c r="J143" s="10" t="s">
        <v>22</v>
      </c>
      <c r="K143" s="10" t="s">
        <v>29</v>
      </c>
      <c r="L143" s="10">
        <v>699.11</v>
      </c>
      <c r="M143" s="13" t="s">
        <v>87</v>
      </c>
    </row>
    <row r="144" spans="1:13">
      <c r="A144" s="4" t="s">
        <v>204</v>
      </c>
      <c r="B144" s="5" t="s">
        <v>27</v>
      </c>
      <c r="C144" s="5" t="s">
        <v>52</v>
      </c>
      <c r="D144" s="5">
        <v>2959.64</v>
      </c>
      <c r="E144" s="5">
        <v>7.0000000000000007E-2</v>
      </c>
      <c r="F144" s="5">
        <v>8</v>
      </c>
      <c r="G144" s="6" t="str">
        <f t="shared" si="2"/>
        <v>February</v>
      </c>
      <c r="H144" s="7">
        <v>45342</v>
      </c>
      <c r="I144" s="7">
        <v>45348</v>
      </c>
      <c r="J144" s="5" t="s">
        <v>42</v>
      </c>
      <c r="K144" s="5" t="s">
        <v>23</v>
      </c>
      <c r="L144" s="5">
        <v>858.27</v>
      </c>
      <c r="M144" s="8" t="s">
        <v>118</v>
      </c>
    </row>
    <row r="145" spans="1:13">
      <c r="A145" s="9" t="s">
        <v>205</v>
      </c>
      <c r="B145" s="10" t="s">
        <v>35</v>
      </c>
      <c r="C145" s="10" t="s">
        <v>52</v>
      </c>
      <c r="D145" s="10">
        <v>277.85000000000002</v>
      </c>
      <c r="E145" s="10">
        <v>0.16</v>
      </c>
      <c r="F145" s="10">
        <v>2</v>
      </c>
      <c r="G145" s="11" t="str">
        <f t="shared" si="2"/>
        <v>February</v>
      </c>
      <c r="H145" s="12">
        <v>45345</v>
      </c>
      <c r="I145" s="12">
        <v>45349</v>
      </c>
      <c r="J145" s="10" t="s">
        <v>42</v>
      </c>
      <c r="K145" s="10" t="s">
        <v>17</v>
      </c>
      <c r="L145" s="10">
        <v>46.23</v>
      </c>
      <c r="M145" s="13" t="s">
        <v>30</v>
      </c>
    </row>
    <row r="146" spans="1:13">
      <c r="A146" s="4" t="s">
        <v>206</v>
      </c>
      <c r="B146" s="5" t="s">
        <v>14</v>
      </c>
      <c r="C146" s="5" t="s">
        <v>52</v>
      </c>
      <c r="D146" s="5">
        <v>1200.3900000000001</v>
      </c>
      <c r="E146" s="5">
        <v>0.2</v>
      </c>
      <c r="F146" s="5">
        <v>8</v>
      </c>
      <c r="G146" s="6" t="str">
        <f t="shared" si="2"/>
        <v>October</v>
      </c>
      <c r="H146" s="7">
        <v>45582</v>
      </c>
      <c r="I146" s="7">
        <v>45588</v>
      </c>
      <c r="J146" s="5" t="s">
        <v>42</v>
      </c>
      <c r="K146" s="5" t="s">
        <v>29</v>
      </c>
      <c r="L146" s="5">
        <v>171.37</v>
      </c>
      <c r="M146" s="8" t="s">
        <v>54</v>
      </c>
    </row>
    <row r="147" spans="1:13">
      <c r="A147" s="9" t="s">
        <v>207</v>
      </c>
      <c r="B147" s="10" t="s">
        <v>20</v>
      </c>
      <c r="C147" s="10" t="s">
        <v>47</v>
      </c>
      <c r="D147" s="10">
        <v>4537.16</v>
      </c>
      <c r="E147" s="10">
        <v>0.25</v>
      </c>
      <c r="F147" s="10">
        <v>7</v>
      </c>
      <c r="G147" s="11" t="str">
        <f t="shared" si="2"/>
        <v>February</v>
      </c>
      <c r="H147" s="12">
        <v>45346</v>
      </c>
      <c r="I147" s="12">
        <v>45352</v>
      </c>
      <c r="J147" s="10" t="s">
        <v>16</v>
      </c>
      <c r="K147" s="10" t="s">
        <v>29</v>
      </c>
      <c r="L147" s="10">
        <v>1201.33</v>
      </c>
      <c r="M147" s="13" t="s">
        <v>30</v>
      </c>
    </row>
    <row r="148" spans="1:13">
      <c r="A148" s="4" t="s">
        <v>208</v>
      </c>
      <c r="B148" s="5" t="s">
        <v>27</v>
      </c>
      <c r="C148" s="5" t="s">
        <v>15</v>
      </c>
      <c r="D148" s="5">
        <v>2768.12</v>
      </c>
      <c r="E148" s="5">
        <v>0.28999999999999998</v>
      </c>
      <c r="F148" s="5">
        <v>3</v>
      </c>
      <c r="G148" s="6" t="str">
        <f t="shared" si="2"/>
        <v>October</v>
      </c>
      <c r="H148" s="7">
        <v>45596</v>
      </c>
      <c r="I148" s="7">
        <v>45600</v>
      </c>
      <c r="J148" s="5" t="s">
        <v>22</v>
      </c>
      <c r="K148" s="5" t="s">
        <v>23</v>
      </c>
      <c r="L148" s="5">
        <v>609.51</v>
      </c>
      <c r="M148" s="8" t="s">
        <v>63</v>
      </c>
    </row>
    <row r="149" spans="1:13">
      <c r="A149" s="9" t="s">
        <v>209</v>
      </c>
      <c r="B149" s="10" t="s">
        <v>35</v>
      </c>
      <c r="C149" s="10" t="s">
        <v>15</v>
      </c>
      <c r="D149" s="10">
        <v>2238.29</v>
      </c>
      <c r="E149" s="10">
        <v>0.23</v>
      </c>
      <c r="F149" s="10">
        <v>7</v>
      </c>
      <c r="G149" s="11" t="str">
        <f t="shared" si="2"/>
        <v>August</v>
      </c>
      <c r="H149" s="12">
        <v>45155</v>
      </c>
      <c r="I149" s="12">
        <v>45159</v>
      </c>
      <c r="J149" s="10" t="s">
        <v>16</v>
      </c>
      <c r="K149" s="10" t="s">
        <v>29</v>
      </c>
      <c r="L149" s="10">
        <v>248.9</v>
      </c>
      <c r="M149" s="13" t="s">
        <v>18</v>
      </c>
    </row>
    <row r="150" spans="1:13">
      <c r="A150" s="4" t="s">
        <v>210</v>
      </c>
      <c r="B150" s="5" t="s">
        <v>14</v>
      </c>
      <c r="C150" s="5" t="s">
        <v>52</v>
      </c>
      <c r="D150" s="5">
        <v>2135.9299999999998</v>
      </c>
      <c r="E150" s="5">
        <v>0.02</v>
      </c>
      <c r="F150" s="5">
        <v>1</v>
      </c>
      <c r="G150" s="6" t="str">
        <f t="shared" si="2"/>
        <v>June</v>
      </c>
      <c r="H150" s="7">
        <v>45470</v>
      </c>
      <c r="I150" s="7">
        <v>45474</v>
      </c>
      <c r="J150" s="5" t="s">
        <v>42</v>
      </c>
      <c r="K150" s="5" t="s">
        <v>29</v>
      </c>
      <c r="L150" s="5">
        <v>394.17</v>
      </c>
      <c r="M150" s="8" t="s">
        <v>59</v>
      </c>
    </row>
    <row r="151" spans="1:13">
      <c r="A151" s="9" t="s">
        <v>211</v>
      </c>
      <c r="B151" s="10" t="s">
        <v>20</v>
      </c>
      <c r="C151" s="10" t="s">
        <v>28</v>
      </c>
      <c r="D151" s="10">
        <v>4451.99</v>
      </c>
      <c r="E151" s="10">
        <v>0.17</v>
      </c>
      <c r="F151" s="10">
        <v>5</v>
      </c>
      <c r="G151" s="11" t="str">
        <f t="shared" si="2"/>
        <v>March</v>
      </c>
      <c r="H151" s="12">
        <v>45005</v>
      </c>
      <c r="I151" s="12">
        <v>45010</v>
      </c>
      <c r="J151" s="10" t="s">
        <v>22</v>
      </c>
      <c r="K151" s="10" t="s">
        <v>23</v>
      </c>
      <c r="L151" s="10">
        <v>1205.9000000000001</v>
      </c>
      <c r="M151" s="13" t="s">
        <v>30</v>
      </c>
    </row>
    <row r="152" spans="1:13">
      <c r="A152" s="4" t="s">
        <v>212</v>
      </c>
      <c r="B152" s="5" t="s">
        <v>27</v>
      </c>
      <c r="C152" s="5" t="s">
        <v>47</v>
      </c>
      <c r="D152" s="5">
        <v>1898.45</v>
      </c>
      <c r="E152" s="5">
        <v>0.03</v>
      </c>
      <c r="F152" s="5">
        <v>2</v>
      </c>
      <c r="G152" s="6" t="str">
        <f t="shared" si="2"/>
        <v>February</v>
      </c>
      <c r="H152" s="7">
        <v>44982</v>
      </c>
      <c r="I152" s="7">
        <v>44987</v>
      </c>
      <c r="J152" s="5" t="s">
        <v>22</v>
      </c>
      <c r="K152" s="5" t="s">
        <v>23</v>
      </c>
      <c r="L152" s="5">
        <v>408.16</v>
      </c>
      <c r="M152" s="8" t="s">
        <v>113</v>
      </c>
    </row>
    <row r="153" spans="1:13">
      <c r="A153" s="9" t="s">
        <v>213</v>
      </c>
      <c r="B153" s="10" t="s">
        <v>35</v>
      </c>
      <c r="C153" s="10" t="s">
        <v>28</v>
      </c>
      <c r="D153" s="10">
        <v>4309.92</v>
      </c>
      <c r="E153" s="10">
        <v>0.06</v>
      </c>
      <c r="F153" s="10">
        <v>2</v>
      </c>
      <c r="G153" s="11" t="str">
        <f t="shared" si="2"/>
        <v>February</v>
      </c>
      <c r="H153" s="12">
        <v>44980</v>
      </c>
      <c r="I153" s="12">
        <v>44983</v>
      </c>
      <c r="J153" s="10" t="s">
        <v>16</v>
      </c>
      <c r="K153" s="10" t="s">
        <v>23</v>
      </c>
      <c r="L153" s="10">
        <v>617.32000000000005</v>
      </c>
      <c r="M153" s="13" t="s">
        <v>87</v>
      </c>
    </row>
    <row r="154" spans="1:13">
      <c r="A154" s="4" t="s">
        <v>214</v>
      </c>
      <c r="B154" s="5" t="s">
        <v>14</v>
      </c>
      <c r="C154" s="5" t="s">
        <v>21</v>
      </c>
      <c r="D154" s="5">
        <v>1615.04</v>
      </c>
      <c r="E154" s="5">
        <v>0.05</v>
      </c>
      <c r="F154" s="5">
        <v>3</v>
      </c>
      <c r="G154" s="6" t="str">
        <f t="shared" si="2"/>
        <v>February</v>
      </c>
      <c r="H154" s="7">
        <v>45340</v>
      </c>
      <c r="I154" s="7">
        <v>45342</v>
      </c>
      <c r="J154" s="5" t="s">
        <v>22</v>
      </c>
      <c r="K154" s="5" t="s">
        <v>17</v>
      </c>
      <c r="L154" s="5">
        <v>253.65</v>
      </c>
      <c r="M154" s="8" t="s">
        <v>59</v>
      </c>
    </row>
    <row r="155" spans="1:13">
      <c r="A155" s="9" t="s">
        <v>215</v>
      </c>
      <c r="B155" s="10" t="s">
        <v>20</v>
      </c>
      <c r="C155" s="10" t="s">
        <v>15</v>
      </c>
      <c r="D155" s="10">
        <v>2704.37</v>
      </c>
      <c r="E155" s="10">
        <v>0.08</v>
      </c>
      <c r="F155" s="10">
        <v>7</v>
      </c>
      <c r="G155" s="11" t="str">
        <f t="shared" si="2"/>
        <v>April</v>
      </c>
      <c r="H155" s="12">
        <v>45399</v>
      </c>
      <c r="I155" s="12">
        <v>45405</v>
      </c>
      <c r="J155" s="10" t="s">
        <v>22</v>
      </c>
      <c r="K155" s="10" t="s">
        <v>17</v>
      </c>
      <c r="L155" s="10">
        <v>742.76</v>
      </c>
      <c r="M155" s="13" t="s">
        <v>70</v>
      </c>
    </row>
    <row r="156" spans="1:13">
      <c r="A156" s="4" t="s">
        <v>216</v>
      </c>
      <c r="B156" s="5" t="s">
        <v>27</v>
      </c>
      <c r="C156" s="5" t="s">
        <v>15</v>
      </c>
      <c r="D156" s="5">
        <v>804.72</v>
      </c>
      <c r="E156" s="5">
        <v>0.41</v>
      </c>
      <c r="F156" s="5">
        <v>2</v>
      </c>
      <c r="G156" s="6" t="str">
        <f t="shared" si="2"/>
        <v>June</v>
      </c>
      <c r="H156" s="7">
        <v>45458</v>
      </c>
      <c r="I156" s="7">
        <v>45460</v>
      </c>
      <c r="J156" s="5" t="s">
        <v>22</v>
      </c>
      <c r="K156" s="5" t="s">
        <v>17</v>
      </c>
      <c r="L156" s="5">
        <v>182.68</v>
      </c>
      <c r="M156" s="8" t="s">
        <v>113</v>
      </c>
    </row>
    <row r="157" spans="1:13">
      <c r="A157" s="9" t="s">
        <v>217</v>
      </c>
      <c r="B157" s="10" t="s">
        <v>35</v>
      </c>
      <c r="C157" s="10" t="s">
        <v>28</v>
      </c>
      <c r="D157" s="10">
        <v>4142.6499999999996</v>
      </c>
      <c r="E157" s="10">
        <v>0.31</v>
      </c>
      <c r="F157" s="10">
        <v>4</v>
      </c>
      <c r="G157" s="11" t="str">
        <f t="shared" si="2"/>
        <v>July</v>
      </c>
      <c r="H157" s="12">
        <v>45128</v>
      </c>
      <c r="I157" s="12">
        <v>45129</v>
      </c>
      <c r="J157" s="10" t="s">
        <v>16</v>
      </c>
      <c r="K157" s="10" t="s">
        <v>29</v>
      </c>
      <c r="L157" s="10">
        <v>735.37</v>
      </c>
      <c r="M157" s="13" t="s">
        <v>24</v>
      </c>
    </row>
    <row r="158" spans="1:13">
      <c r="A158" s="4" t="s">
        <v>218</v>
      </c>
      <c r="B158" s="5" t="s">
        <v>14</v>
      </c>
      <c r="C158" s="5" t="s">
        <v>47</v>
      </c>
      <c r="D158" s="5">
        <v>3706.28</v>
      </c>
      <c r="E158" s="5">
        <v>0.25</v>
      </c>
      <c r="F158" s="5">
        <v>4</v>
      </c>
      <c r="G158" s="6" t="str">
        <f t="shared" si="2"/>
        <v>August</v>
      </c>
      <c r="H158" s="7">
        <v>45149</v>
      </c>
      <c r="I158" s="7">
        <v>45156</v>
      </c>
      <c r="J158" s="5" t="s">
        <v>16</v>
      </c>
      <c r="K158" s="5" t="s">
        <v>17</v>
      </c>
      <c r="L158" s="5">
        <v>813.65</v>
      </c>
      <c r="M158" s="8" t="s">
        <v>59</v>
      </c>
    </row>
    <row r="159" spans="1:13">
      <c r="A159" s="9" t="s">
        <v>219</v>
      </c>
      <c r="B159" s="10" t="s">
        <v>20</v>
      </c>
      <c r="C159" s="10" t="s">
        <v>15</v>
      </c>
      <c r="D159" s="10">
        <v>2697.46</v>
      </c>
      <c r="E159" s="10">
        <v>0.37</v>
      </c>
      <c r="F159" s="10">
        <v>1</v>
      </c>
      <c r="G159" s="11" t="str">
        <f t="shared" si="2"/>
        <v>May</v>
      </c>
      <c r="H159" s="12">
        <v>45055</v>
      </c>
      <c r="I159" s="12">
        <v>45058</v>
      </c>
      <c r="J159" s="10" t="s">
        <v>22</v>
      </c>
      <c r="K159" s="10" t="s">
        <v>29</v>
      </c>
      <c r="L159" s="10">
        <v>597.1</v>
      </c>
      <c r="M159" s="13" t="s">
        <v>74</v>
      </c>
    </row>
    <row r="160" spans="1:13">
      <c r="A160" s="4" t="s">
        <v>220</v>
      </c>
      <c r="B160" s="5" t="s">
        <v>27</v>
      </c>
      <c r="C160" s="5" t="s">
        <v>28</v>
      </c>
      <c r="D160" s="5">
        <v>226.92</v>
      </c>
      <c r="E160" s="5">
        <v>0.48</v>
      </c>
      <c r="F160" s="5">
        <v>7</v>
      </c>
      <c r="G160" s="6" t="str">
        <f t="shared" si="2"/>
        <v>November</v>
      </c>
      <c r="H160" s="7">
        <v>45256</v>
      </c>
      <c r="I160" s="7">
        <v>45262</v>
      </c>
      <c r="J160" s="5" t="s">
        <v>16</v>
      </c>
      <c r="K160" s="5" t="s">
        <v>17</v>
      </c>
      <c r="L160" s="5">
        <v>43.53</v>
      </c>
      <c r="M160" s="8" t="s">
        <v>74</v>
      </c>
    </row>
    <row r="161" spans="1:13">
      <c r="A161" s="9" t="s">
        <v>221</v>
      </c>
      <c r="B161" s="10" t="s">
        <v>35</v>
      </c>
      <c r="C161" s="10" t="s">
        <v>47</v>
      </c>
      <c r="D161" s="10">
        <v>2458.16</v>
      </c>
      <c r="E161" s="10">
        <v>0.21</v>
      </c>
      <c r="F161" s="10">
        <v>4</v>
      </c>
      <c r="G161" s="11" t="str">
        <f t="shared" si="2"/>
        <v>October</v>
      </c>
      <c r="H161" s="12">
        <v>45584</v>
      </c>
      <c r="I161" s="12">
        <v>45585</v>
      </c>
      <c r="J161" s="10" t="s">
        <v>22</v>
      </c>
      <c r="K161" s="10" t="s">
        <v>29</v>
      </c>
      <c r="L161" s="10">
        <v>508.56</v>
      </c>
      <c r="M161" s="13" t="s">
        <v>63</v>
      </c>
    </row>
    <row r="162" spans="1:13">
      <c r="A162" s="4" t="s">
        <v>222</v>
      </c>
      <c r="B162" s="5" t="s">
        <v>14</v>
      </c>
      <c r="C162" s="5" t="s">
        <v>28</v>
      </c>
      <c r="D162" s="5">
        <v>1203.46</v>
      </c>
      <c r="E162" s="5">
        <v>0.18</v>
      </c>
      <c r="F162" s="5">
        <v>1</v>
      </c>
      <c r="G162" s="6" t="str">
        <f t="shared" si="2"/>
        <v>March</v>
      </c>
      <c r="H162" s="7">
        <v>45367</v>
      </c>
      <c r="I162" s="7">
        <v>45372</v>
      </c>
      <c r="J162" s="5" t="s">
        <v>42</v>
      </c>
      <c r="K162" s="5" t="s">
        <v>29</v>
      </c>
      <c r="L162" s="5">
        <v>166.4</v>
      </c>
      <c r="M162" s="8" t="s">
        <v>37</v>
      </c>
    </row>
    <row r="163" spans="1:13">
      <c r="A163" s="9" t="s">
        <v>223</v>
      </c>
      <c r="B163" s="10" t="s">
        <v>20</v>
      </c>
      <c r="C163" s="10" t="s">
        <v>47</v>
      </c>
      <c r="D163" s="10">
        <v>2125.5300000000002</v>
      </c>
      <c r="E163" s="10">
        <v>0.49</v>
      </c>
      <c r="F163" s="10">
        <v>3</v>
      </c>
      <c r="G163" s="11" t="str">
        <f t="shared" si="2"/>
        <v>May</v>
      </c>
      <c r="H163" s="12">
        <v>45054</v>
      </c>
      <c r="I163" s="12">
        <v>45058</v>
      </c>
      <c r="J163" s="10" t="s">
        <v>42</v>
      </c>
      <c r="K163" s="10" t="s">
        <v>23</v>
      </c>
      <c r="L163" s="10">
        <v>292.08</v>
      </c>
      <c r="M163" s="13" t="s">
        <v>77</v>
      </c>
    </row>
    <row r="164" spans="1:13">
      <c r="A164" s="4" t="s">
        <v>224</v>
      </c>
      <c r="B164" s="5" t="s">
        <v>27</v>
      </c>
      <c r="C164" s="5" t="s">
        <v>52</v>
      </c>
      <c r="D164" s="5">
        <v>4296.49</v>
      </c>
      <c r="E164" s="5">
        <v>0.39</v>
      </c>
      <c r="F164" s="5">
        <v>8</v>
      </c>
      <c r="G164" s="6" t="str">
        <f t="shared" si="2"/>
        <v>May</v>
      </c>
      <c r="H164" s="7">
        <v>45067</v>
      </c>
      <c r="I164" s="7">
        <v>45074</v>
      </c>
      <c r="J164" s="5" t="s">
        <v>22</v>
      </c>
      <c r="K164" s="5" t="s">
        <v>17</v>
      </c>
      <c r="L164" s="5">
        <v>579.12</v>
      </c>
      <c r="M164" s="8" t="s">
        <v>56</v>
      </c>
    </row>
    <row r="165" spans="1:13">
      <c r="A165" s="9" t="s">
        <v>225</v>
      </c>
      <c r="B165" s="10" t="s">
        <v>35</v>
      </c>
      <c r="C165" s="10" t="s">
        <v>47</v>
      </c>
      <c r="D165" s="10">
        <v>3871.06</v>
      </c>
      <c r="E165" s="10">
        <v>0.39</v>
      </c>
      <c r="F165" s="10">
        <v>4</v>
      </c>
      <c r="G165" s="11" t="str">
        <f t="shared" si="2"/>
        <v>April</v>
      </c>
      <c r="H165" s="12">
        <v>45396</v>
      </c>
      <c r="I165" s="12">
        <v>45403</v>
      </c>
      <c r="J165" s="10" t="s">
        <v>42</v>
      </c>
      <c r="K165" s="10" t="s">
        <v>23</v>
      </c>
      <c r="L165" s="10">
        <v>230.99</v>
      </c>
      <c r="M165" s="13" t="s">
        <v>37</v>
      </c>
    </row>
    <row r="166" spans="1:13">
      <c r="A166" s="4" t="s">
        <v>226</v>
      </c>
      <c r="B166" s="5" t="s">
        <v>14</v>
      </c>
      <c r="C166" s="5" t="s">
        <v>21</v>
      </c>
      <c r="D166" s="5">
        <v>1285.57</v>
      </c>
      <c r="E166" s="5">
        <v>0.3</v>
      </c>
      <c r="F166" s="5">
        <v>1</v>
      </c>
      <c r="G166" s="6" t="str">
        <f t="shared" si="2"/>
        <v>August</v>
      </c>
      <c r="H166" s="7">
        <v>45508</v>
      </c>
      <c r="I166" s="7">
        <v>45509</v>
      </c>
      <c r="J166" s="5" t="s">
        <v>42</v>
      </c>
      <c r="K166" s="5" t="s">
        <v>29</v>
      </c>
      <c r="L166" s="5">
        <v>330.45</v>
      </c>
      <c r="M166" s="8" t="s">
        <v>82</v>
      </c>
    </row>
    <row r="167" spans="1:13">
      <c r="A167" s="9" t="s">
        <v>227</v>
      </c>
      <c r="B167" s="10" t="s">
        <v>20</v>
      </c>
      <c r="C167" s="10" t="s">
        <v>52</v>
      </c>
      <c r="D167" s="10">
        <v>4926.2700000000004</v>
      </c>
      <c r="E167" s="10">
        <v>0.25</v>
      </c>
      <c r="F167" s="10">
        <v>7</v>
      </c>
      <c r="G167" s="11" t="str">
        <f t="shared" si="2"/>
        <v>June</v>
      </c>
      <c r="H167" s="12">
        <v>45087</v>
      </c>
      <c r="I167" s="12">
        <v>45088</v>
      </c>
      <c r="J167" s="10" t="s">
        <v>42</v>
      </c>
      <c r="K167" s="10" t="s">
        <v>29</v>
      </c>
      <c r="L167" s="10">
        <v>440.26</v>
      </c>
      <c r="M167" s="13" t="s">
        <v>56</v>
      </c>
    </row>
    <row r="168" spans="1:13">
      <c r="A168" s="4" t="s">
        <v>228</v>
      </c>
      <c r="B168" s="5" t="s">
        <v>27</v>
      </c>
      <c r="C168" s="5" t="s">
        <v>28</v>
      </c>
      <c r="D168" s="5">
        <v>4525.7299999999996</v>
      </c>
      <c r="E168" s="5">
        <v>0.28000000000000003</v>
      </c>
      <c r="F168" s="5">
        <v>8</v>
      </c>
      <c r="G168" s="6" t="str">
        <f t="shared" si="2"/>
        <v>March</v>
      </c>
      <c r="H168" s="7">
        <v>45375</v>
      </c>
      <c r="I168" s="7">
        <v>45380</v>
      </c>
      <c r="J168" s="5" t="s">
        <v>22</v>
      </c>
      <c r="K168" s="5" t="s">
        <v>17</v>
      </c>
      <c r="L168" s="5">
        <v>332.86</v>
      </c>
      <c r="M168" s="8" t="s">
        <v>74</v>
      </c>
    </row>
    <row r="169" spans="1:13">
      <c r="A169" s="9" t="s">
        <v>229</v>
      </c>
      <c r="B169" s="10" t="s">
        <v>35</v>
      </c>
      <c r="C169" s="10" t="s">
        <v>52</v>
      </c>
      <c r="D169" s="10">
        <v>2690.5</v>
      </c>
      <c r="E169" s="10">
        <v>0.33</v>
      </c>
      <c r="F169" s="10">
        <v>5</v>
      </c>
      <c r="G169" s="11" t="str">
        <f t="shared" si="2"/>
        <v>May</v>
      </c>
      <c r="H169" s="12">
        <v>45441</v>
      </c>
      <c r="I169" s="12">
        <v>45444</v>
      </c>
      <c r="J169" s="10" t="s">
        <v>16</v>
      </c>
      <c r="K169" s="10" t="s">
        <v>29</v>
      </c>
      <c r="L169" s="10">
        <v>418.96</v>
      </c>
      <c r="M169" s="13" t="s">
        <v>56</v>
      </c>
    </row>
    <row r="170" spans="1:13">
      <c r="A170" s="4" t="s">
        <v>230</v>
      </c>
      <c r="B170" s="5" t="s">
        <v>14</v>
      </c>
      <c r="C170" s="5" t="s">
        <v>52</v>
      </c>
      <c r="D170" s="5">
        <v>2697.74</v>
      </c>
      <c r="E170" s="5">
        <v>0.19</v>
      </c>
      <c r="F170" s="5">
        <v>9</v>
      </c>
      <c r="G170" s="6" t="str">
        <f t="shared" si="2"/>
        <v>January</v>
      </c>
      <c r="H170" s="7">
        <v>45315</v>
      </c>
      <c r="I170" s="7">
        <v>45319</v>
      </c>
      <c r="J170" s="5" t="s">
        <v>22</v>
      </c>
      <c r="K170" s="5" t="s">
        <v>17</v>
      </c>
      <c r="L170" s="5">
        <v>458.18</v>
      </c>
      <c r="M170" s="8" t="s">
        <v>74</v>
      </c>
    </row>
    <row r="171" spans="1:13">
      <c r="A171" s="9" t="s">
        <v>231</v>
      </c>
      <c r="B171" s="10" t="s">
        <v>20</v>
      </c>
      <c r="C171" s="10" t="s">
        <v>28</v>
      </c>
      <c r="D171" s="10">
        <v>4516.2</v>
      </c>
      <c r="E171" s="10">
        <v>0.39</v>
      </c>
      <c r="F171" s="10">
        <v>7</v>
      </c>
      <c r="G171" s="11" t="str">
        <f t="shared" si="2"/>
        <v>June</v>
      </c>
      <c r="H171" s="12">
        <v>45450</v>
      </c>
      <c r="I171" s="12">
        <v>45457</v>
      </c>
      <c r="J171" s="10" t="s">
        <v>22</v>
      </c>
      <c r="K171" s="10" t="s">
        <v>17</v>
      </c>
      <c r="L171" s="10">
        <v>522.95000000000005</v>
      </c>
      <c r="M171" s="13" t="s">
        <v>24</v>
      </c>
    </row>
    <row r="172" spans="1:13">
      <c r="A172" s="4" t="s">
        <v>232</v>
      </c>
      <c r="B172" s="5" t="s">
        <v>27</v>
      </c>
      <c r="C172" s="5" t="s">
        <v>28</v>
      </c>
      <c r="D172" s="5">
        <v>3217.11</v>
      </c>
      <c r="E172" s="5">
        <v>0.45</v>
      </c>
      <c r="F172" s="5">
        <v>4</v>
      </c>
      <c r="G172" s="6" t="str">
        <f t="shared" si="2"/>
        <v>October</v>
      </c>
      <c r="H172" s="7">
        <v>45215</v>
      </c>
      <c r="I172" s="7">
        <v>45219</v>
      </c>
      <c r="J172" s="5" t="s">
        <v>16</v>
      </c>
      <c r="K172" s="5" t="s">
        <v>17</v>
      </c>
      <c r="L172" s="5">
        <v>930.19</v>
      </c>
      <c r="M172" s="8" t="s">
        <v>59</v>
      </c>
    </row>
    <row r="173" spans="1:13">
      <c r="A173" s="9" t="s">
        <v>233</v>
      </c>
      <c r="B173" s="10" t="s">
        <v>35</v>
      </c>
      <c r="C173" s="10" t="s">
        <v>21</v>
      </c>
      <c r="D173" s="10">
        <v>2729.77</v>
      </c>
      <c r="E173" s="10">
        <v>0.28999999999999998</v>
      </c>
      <c r="F173" s="10">
        <v>9</v>
      </c>
      <c r="G173" s="11" t="str">
        <f t="shared" si="2"/>
        <v>May</v>
      </c>
      <c r="H173" s="12">
        <v>45415</v>
      </c>
      <c r="I173" s="12">
        <v>45418</v>
      </c>
      <c r="J173" s="10" t="s">
        <v>22</v>
      </c>
      <c r="K173" s="10" t="s">
        <v>23</v>
      </c>
      <c r="L173" s="10">
        <v>250.2</v>
      </c>
      <c r="M173" s="13" t="s">
        <v>54</v>
      </c>
    </row>
    <row r="174" spans="1:13">
      <c r="A174" s="4" t="s">
        <v>234</v>
      </c>
      <c r="B174" s="5" t="s">
        <v>14</v>
      </c>
      <c r="C174" s="5" t="s">
        <v>28</v>
      </c>
      <c r="D174" s="5">
        <v>3770.83</v>
      </c>
      <c r="E174" s="5">
        <v>0.19</v>
      </c>
      <c r="F174" s="5">
        <v>6</v>
      </c>
      <c r="G174" s="6" t="str">
        <f t="shared" si="2"/>
        <v>January</v>
      </c>
      <c r="H174" s="7">
        <v>44953</v>
      </c>
      <c r="I174" s="7">
        <v>44959</v>
      </c>
      <c r="J174" s="5" t="s">
        <v>22</v>
      </c>
      <c r="K174" s="5" t="s">
        <v>17</v>
      </c>
      <c r="L174" s="5">
        <v>729.42</v>
      </c>
      <c r="M174" s="8" t="s">
        <v>18</v>
      </c>
    </row>
    <row r="175" spans="1:13">
      <c r="A175" s="9" t="s">
        <v>235</v>
      </c>
      <c r="B175" s="10" t="s">
        <v>20</v>
      </c>
      <c r="C175" s="10" t="s">
        <v>15</v>
      </c>
      <c r="D175" s="10">
        <v>1251.98</v>
      </c>
      <c r="E175" s="10">
        <v>0.35</v>
      </c>
      <c r="F175" s="10">
        <v>8</v>
      </c>
      <c r="G175" s="11" t="str">
        <f t="shared" si="2"/>
        <v>January</v>
      </c>
      <c r="H175" s="12">
        <v>45295</v>
      </c>
      <c r="I175" s="12">
        <v>45300</v>
      </c>
      <c r="J175" s="10" t="s">
        <v>22</v>
      </c>
      <c r="K175" s="10" t="s">
        <v>17</v>
      </c>
      <c r="L175" s="10">
        <v>253.73</v>
      </c>
      <c r="M175" s="13" t="s">
        <v>37</v>
      </c>
    </row>
    <row r="176" spans="1:13">
      <c r="A176" s="4" t="s">
        <v>236</v>
      </c>
      <c r="B176" s="5" t="s">
        <v>27</v>
      </c>
      <c r="C176" s="5" t="s">
        <v>15</v>
      </c>
      <c r="D176" s="5">
        <v>4404.05</v>
      </c>
      <c r="E176" s="5">
        <v>0.09</v>
      </c>
      <c r="F176" s="5">
        <v>2</v>
      </c>
      <c r="G176" s="6" t="str">
        <f t="shared" si="2"/>
        <v>January</v>
      </c>
      <c r="H176" s="7">
        <v>44939</v>
      </c>
      <c r="I176" s="7">
        <v>44945</v>
      </c>
      <c r="J176" s="5" t="s">
        <v>42</v>
      </c>
      <c r="K176" s="5" t="s">
        <v>17</v>
      </c>
      <c r="L176" s="5">
        <v>941.87</v>
      </c>
      <c r="M176" s="8" t="s">
        <v>82</v>
      </c>
    </row>
    <row r="177" spans="1:13">
      <c r="A177" s="9" t="s">
        <v>237</v>
      </c>
      <c r="B177" s="10" t="s">
        <v>35</v>
      </c>
      <c r="C177" s="10" t="s">
        <v>21</v>
      </c>
      <c r="D177" s="10">
        <v>2703.93</v>
      </c>
      <c r="E177" s="10">
        <v>0.48</v>
      </c>
      <c r="F177" s="10">
        <v>5</v>
      </c>
      <c r="G177" s="11" t="str">
        <f t="shared" si="2"/>
        <v>January</v>
      </c>
      <c r="H177" s="12">
        <v>45292</v>
      </c>
      <c r="I177" s="12">
        <v>45297</v>
      </c>
      <c r="J177" s="10" t="s">
        <v>22</v>
      </c>
      <c r="K177" s="10" t="s">
        <v>17</v>
      </c>
      <c r="L177" s="10">
        <v>671.84</v>
      </c>
      <c r="M177" s="13" t="s">
        <v>77</v>
      </c>
    </row>
    <row r="178" spans="1:13">
      <c r="A178" s="4" t="s">
        <v>238</v>
      </c>
      <c r="B178" s="5" t="s">
        <v>14</v>
      </c>
      <c r="C178" s="5" t="s">
        <v>47</v>
      </c>
      <c r="D178" s="5">
        <v>3057.15</v>
      </c>
      <c r="E178" s="5">
        <v>0.33</v>
      </c>
      <c r="F178" s="5">
        <v>3</v>
      </c>
      <c r="G178" s="6" t="str">
        <f t="shared" si="2"/>
        <v>May</v>
      </c>
      <c r="H178" s="7">
        <v>45049</v>
      </c>
      <c r="I178" s="7">
        <v>45050</v>
      </c>
      <c r="J178" s="5" t="s">
        <v>22</v>
      </c>
      <c r="K178" s="5" t="s">
        <v>17</v>
      </c>
      <c r="L178" s="5">
        <v>814</v>
      </c>
      <c r="M178" s="8" t="s">
        <v>56</v>
      </c>
    </row>
    <row r="179" spans="1:13">
      <c r="A179" s="9" t="s">
        <v>239</v>
      </c>
      <c r="B179" s="10" t="s">
        <v>20</v>
      </c>
      <c r="C179" s="10" t="s">
        <v>47</v>
      </c>
      <c r="D179" s="10">
        <v>540.72</v>
      </c>
      <c r="E179" s="10">
        <v>0.03</v>
      </c>
      <c r="F179" s="10">
        <v>5</v>
      </c>
      <c r="G179" s="11" t="str">
        <f t="shared" si="2"/>
        <v>December</v>
      </c>
      <c r="H179" s="12">
        <v>45641</v>
      </c>
      <c r="I179" s="12">
        <v>45643</v>
      </c>
      <c r="J179" s="10" t="s">
        <v>16</v>
      </c>
      <c r="K179" s="10" t="s">
        <v>23</v>
      </c>
      <c r="L179" s="10">
        <v>66.459999999999994</v>
      </c>
      <c r="M179" s="13" t="s">
        <v>54</v>
      </c>
    </row>
    <row r="180" spans="1:13">
      <c r="A180" s="4" t="s">
        <v>240</v>
      </c>
      <c r="B180" s="5" t="s">
        <v>27</v>
      </c>
      <c r="C180" s="5" t="s">
        <v>15</v>
      </c>
      <c r="D180" s="5">
        <v>1616.59</v>
      </c>
      <c r="E180" s="5">
        <v>0.26</v>
      </c>
      <c r="F180" s="5">
        <v>8</v>
      </c>
      <c r="G180" s="6" t="str">
        <f t="shared" si="2"/>
        <v>September</v>
      </c>
      <c r="H180" s="7">
        <v>45180</v>
      </c>
      <c r="I180" s="7">
        <v>45187</v>
      </c>
      <c r="J180" s="5" t="s">
        <v>42</v>
      </c>
      <c r="K180" s="5" t="s">
        <v>17</v>
      </c>
      <c r="L180" s="5">
        <v>479.33</v>
      </c>
      <c r="M180" s="8" t="s">
        <v>30</v>
      </c>
    </row>
    <row r="181" spans="1:13">
      <c r="A181" s="9" t="s">
        <v>241</v>
      </c>
      <c r="B181" s="10" t="s">
        <v>35</v>
      </c>
      <c r="C181" s="10" t="s">
        <v>28</v>
      </c>
      <c r="D181" s="10">
        <v>2191</v>
      </c>
      <c r="E181" s="10">
        <v>0.38</v>
      </c>
      <c r="F181" s="10">
        <v>6</v>
      </c>
      <c r="G181" s="11" t="str">
        <f t="shared" si="2"/>
        <v>December</v>
      </c>
      <c r="H181" s="12">
        <v>45641</v>
      </c>
      <c r="I181" s="12">
        <v>45643</v>
      </c>
      <c r="J181" s="10" t="s">
        <v>42</v>
      </c>
      <c r="K181" s="10" t="s">
        <v>29</v>
      </c>
      <c r="L181" s="10">
        <v>336.28</v>
      </c>
      <c r="M181" s="13" t="s">
        <v>113</v>
      </c>
    </row>
    <row r="182" spans="1:13">
      <c r="A182" s="4" t="s">
        <v>242</v>
      </c>
      <c r="B182" s="5" t="s">
        <v>14</v>
      </c>
      <c r="C182" s="5" t="s">
        <v>21</v>
      </c>
      <c r="D182" s="5">
        <v>2128.16</v>
      </c>
      <c r="E182" s="5">
        <v>0.14000000000000001</v>
      </c>
      <c r="F182" s="5">
        <v>1</v>
      </c>
      <c r="G182" s="6" t="str">
        <f t="shared" si="2"/>
        <v>November</v>
      </c>
      <c r="H182" s="7">
        <v>45602</v>
      </c>
      <c r="I182" s="7">
        <v>45607</v>
      </c>
      <c r="J182" s="5" t="s">
        <v>22</v>
      </c>
      <c r="K182" s="5" t="s">
        <v>29</v>
      </c>
      <c r="L182" s="5">
        <v>523.61</v>
      </c>
      <c r="M182" s="8" t="s">
        <v>84</v>
      </c>
    </row>
    <row r="183" spans="1:13">
      <c r="A183" s="9" t="s">
        <v>243</v>
      </c>
      <c r="B183" s="10" t="s">
        <v>20</v>
      </c>
      <c r="C183" s="10" t="s">
        <v>47</v>
      </c>
      <c r="D183" s="10">
        <v>3913.59</v>
      </c>
      <c r="E183" s="10">
        <v>0.03</v>
      </c>
      <c r="F183" s="10">
        <v>7</v>
      </c>
      <c r="G183" s="11" t="str">
        <f t="shared" si="2"/>
        <v>December</v>
      </c>
      <c r="H183" s="12">
        <v>45287</v>
      </c>
      <c r="I183" s="12">
        <v>45290</v>
      </c>
      <c r="J183" s="10" t="s">
        <v>42</v>
      </c>
      <c r="K183" s="10" t="s">
        <v>17</v>
      </c>
      <c r="L183" s="10">
        <v>235.73</v>
      </c>
      <c r="M183" s="13" t="s">
        <v>59</v>
      </c>
    </row>
    <row r="184" spans="1:13">
      <c r="A184" s="4" t="s">
        <v>244</v>
      </c>
      <c r="B184" s="5" t="s">
        <v>27</v>
      </c>
      <c r="C184" s="5" t="s">
        <v>47</v>
      </c>
      <c r="D184" s="5">
        <v>1483.38</v>
      </c>
      <c r="E184" s="5">
        <v>0.24</v>
      </c>
      <c r="F184" s="5">
        <v>1</v>
      </c>
      <c r="G184" s="6" t="str">
        <f t="shared" si="2"/>
        <v>July</v>
      </c>
      <c r="H184" s="7">
        <v>45112</v>
      </c>
      <c r="I184" s="7">
        <v>45118</v>
      </c>
      <c r="J184" s="5" t="s">
        <v>42</v>
      </c>
      <c r="K184" s="5" t="s">
        <v>17</v>
      </c>
      <c r="L184" s="5">
        <v>350.59</v>
      </c>
      <c r="M184" s="8" t="s">
        <v>70</v>
      </c>
    </row>
    <row r="185" spans="1:13">
      <c r="A185" s="9" t="s">
        <v>245</v>
      </c>
      <c r="B185" s="10" t="s">
        <v>35</v>
      </c>
      <c r="C185" s="10" t="s">
        <v>52</v>
      </c>
      <c r="D185" s="10">
        <v>992.34</v>
      </c>
      <c r="E185" s="10">
        <v>0.42</v>
      </c>
      <c r="F185" s="10">
        <v>1</v>
      </c>
      <c r="G185" s="11" t="str">
        <f t="shared" si="2"/>
        <v>November</v>
      </c>
      <c r="H185" s="12">
        <v>45246</v>
      </c>
      <c r="I185" s="12">
        <v>45249</v>
      </c>
      <c r="J185" s="10" t="s">
        <v>16</v>
      </c>
      <c r="K185" s="10" t="s">
        <v>17</v>
      </c>
      <c r="L185" s="10">
        <v>255.64</v>
      </c>
      <c r="M185" s="13" t="s">
        <v>84</v>
      </c>
    </row>
    <row r="186" spans="1:13">
      <c r="A186" s="4" t="s">
        <v>246</v>
      </c>
      <c r="B186" s="5" t="s">
        <v>14</v>
      </c>
      <c r="C186" s="5" t="s">
        <v>15</v>
      </c>
      <c r="D186" s="5">
        <v>2954.82</v>
      </c>
      <c r="E186" s="5">
        <v>0.13</v>
      </c>
      <c r="F186" s="5">
        <v>4</v>
      </c>
      <c r="G186" s="6" t="str">
        <f t="shared" si="2"/>
        <v>March</v>
      </c>
      <c r="H186" s="7">
        <v>45360</v>
      </c>
      <c r="I186" s="7">
        <v>45362</v>
      </c>
      <c r="J186" s="5" t="s">
        <v>16</v>
      </c>
      <c r="K186" s="5" t="s">
        <v>17</v>
      </c>
      <c r="L186" s="5">
        <v>227.77</v>
      </c>
      <c r="M186" s="8" t="s">
        <v>77</v>
      </c>
    </row>
    <row r="187" spans="1:13">
      <c r="A187" s="9" t="s">
        <v>247</v>
      </c>
      <c r="B187" s="10" t="s">
        <v>20</v>
      </c>
      <c r="C187" s="10" t="s">
        <v>28</v>
      </c>
      <c r="D187" s="10">
        <v>3113.57</v>
      </c>
      <c r="E187" s="10">
        <v>0.36</v>
      </c>
      <c r="F187" s="10">
        <v>9</v>
      </c>
      <c r="G187" s="11" t="str">
        <f t="shared" si="2"/>
        <v>September</v>
      </c>
      <c r="H187" s="12">
        <v>45560</v>
      </c>
      <c r="I187" s="12">
        <v>45566</v>
      </c>
      <c r="J187" s="10" t="s">
        <v>42</v>
      </c>
      <c r="K187" s="10" t="s">
        <v>17</v>
      </c>
      <c r="L187" s="10">
        <v>393.92</v>
      </c>
      <c r="M187" s="13" t="s">
        <v>63</v>
      </c>
    </row>
    <row r="188" spans="1:13">
      <c r="A188" s="4" t="s">
        <v>248</v>
      </c>
      <c r="B188" s="5" t="s">
        <v>27</v>
      </c>
      <c r="C188" s="5" t="s">
        <v>21</v>
      </c>
      <c r="D188" s="5">
        <v>695.76</v>
      </c>
      <c r="E188" s="5">
        <v>0.2</v>
      </c>
      <c r="F188" s="5">
        <v>8</v>
      </c>
      <c r="G188" s="6" t="str">
        <f t="shared" si="2"/>
        <v>November</v>
      </c>
      <c r="H188" s="7">
        <v>45617</v>
      </c>
      <c r="I188" s="7">
        <v>45620</v>
      </c>
      <c r="J188" s="5" t="s">
        <v>16</v>
      </c>
      <c r="K188" s="5" t="s">
        <v>29</v>
      </c>
      <c r="L188" s="5">
        <v>112.67</v>
      </c>
      <c r="M188" s="8" t="s">
        <v>82</v>
      </c>
    </row>
    <row r="189" spans="1:13">
      <c r="A189" s="9" t="s">
        <v>249</v>
      </c>
      <c r="B189" s="10" t="s">
        <v>35</v>
      </c>
      <c r="C189" s="10" t="s">
        <v>47</v>
      </c>
      <c r="D189" s="10">
        <v>112.1</v>
      </c>
      <c r="E189" s="10">
        <v>0.03</v>
      </c>
      <c r="F189" s="10">
        <v>3</v>
      </c>
      <c r="G189" s="11" t="str">
        <f t="shared" si="2"/>
        <v>October</v>
      </c>
      <c r="H189" s="12">
        <v>45570</v>
      </c>
      <c r="I189" s="12">
        <v>45573</v>
      </c>
      <c r="J189" s="10" t="s">
        <v>22</v>
      </c>
      <c r="K189" s="10" t="s">
        <v>17</v>
      </c>
      <c r="L189" s="10">
        <v>27.01</v>
      </c>
      <c r="M189" s="13" t="s">
        <v>84</v>
      </c>
    </row>
    <row r="190" spans="1:13">
      <c r="A190" s="4" t="s">
        <v>250</v>
      </c>
      <c r="B190" s="5" t="s">
        <v>14</v>
      </c>
      <c r="C190" s="5" t="s">
        <v>52</v>
      </c>
      <c r="D190" s="5">
        <v>4596.4799999999996</v>
      </c>
      <c r="E190" s="5">
        <v>0.15</v>
      </c>
      <c r="F190" s="5">
        <v>6</v>
      </c>
      <c r="G190" s="6" t="str">
        <f t="shared" si="2"/>
        <v>October</v>
      </c>
      <c r="H190" s="7">
        <v>45226</v>
      </c>
      <c r="I190" s="7">
        <v>45233</v>
      </c>
      <c r="J190" s="5" t="s">
        <v>16</v>
      </c>
      <c r="K190" s="5" t="s">
        <v>17</v>
      </c>
      <c r="L190" s="5">
        <v>838.45</v>
      </c>
      <c r="M190" s="8" t="s">
        <v>30</v>
      </c>
    </row>
    <row r="191" spans="1:13">
      <c r="A191" s="9" t="s">
        <v>251</v>
      </c>
      <c r="B191" s="10" t="s">
        <v>20</v>
      </c>
      <c r="C191" s="10" t="s">
        <v>15</v>
      </c>
      <c r="D191" s="10">
        <v>490.22</v>
      </c>
      <c r="E191" s="10">
        <v>0.16</v>
      </c>
      <c r="F191" s="10">
        <v>1</v>
      </c>
      <c r="G191" s="11" t="str">
        <f t="shared" si="2"/>
        <v>June</v>
      </c>
      <c r="H191" s="12">
        <v>45456</v>
      </c>
      <c r="I191" s="12">
        <v>45463</v>
      </c>
      <c r="J191" s="10" t="s">
        <v>22</v>
      </c>
      <c r="K191" s="10" t="s">
        <v>17</v>
      </c>
      <c r="L191" s="10">
        <v>101.89</v>
      </c>
      <c r="M191" s="13" t="s">
        <v>77</v>
      </c>
    </row>
    <row r="192" spans="1:13">
      <c r="A192" s="4" t="s">
        <v>252</v>
      </c>
      <c r="B192" s="5" t="s">
        <v>27</v>
      </c>
      <c r="C192" s="5" t="s">
        <v>15</v>
      </c>
      <c r="D192" s="5">
        <v>4499.55</v>
      </c>
      <c r="E192" s="5">
        <v>0.45</v>
      </c>
      <c r="F192" s="5">
        <v>1</v>
      </c>
      <c r="G192" s="6" t="str">
        <f t="shared" si="2"/>
        <v>January</v>
      </c>
      <c r="H192" s="7">
        <v>44944</v>
      </c>
      <c r="I192" s="7">
        <v>44950</v>
      </c>
      <c r="J192" s="5" t="s">
        <v>16</v>
      </c>
      <c r="K192" s="5" t="s">
        <v>29</v>
      </c>
      <c r="L192" s="5">
        <v>639.71</v>
      </c>
      <c r="M192" s="8" t="s">
        <v>84</v>
      </c>
    </row>
    <row r="193" spans="1:13">
      <c r="A193" s="9" t="s">
        <v>253</v>
      </c>
      <c r="B193" s="10" t="s">
        <v>35</v>
      </c>
      <c r="C193" s="10" t="s">
        <v>21</v>
      </c>
      <c r="D193" s="10">
        <v>2056.15</v>
      </c>
      <c r="E193" s="10">
        <v>0.49</v>
      </c>
      <c r="F193" s="10">
        <v>6</v>
      </c>
      <c r="G193" s="11" t="str">
        <f t="shared" si="2"/>
        <v>April</v>
      </c>
      <c r="H193" s="12">
        <v>45402</v>
      </c>
      <c r="I193" s="12">
        <v>45406</v>
      </c>
      <c r="J193" s="10" t="s">
        <v>42</v>
      </c>
      <c r="K193" s="10" t="s">
        <v>29</v>
      </c>
      <c r="L193" s="10">
        <v>549.92999999999995</v>
      </c>
      <c r="M193" s="13" t="s">
        <v>30</v>
      </c>
    </row>
    <row r="194" spans="1:13">
      <c r="A194" s="4" t="s">
        <v>254</v>
      </c>
      <c r="B194" s="5" t="s">
        <v>14</v>
      </c>
      <c r="C194" s="5" t="s">
        <v>47</v>
      </c>
      <c r="D194" s="5">
        <v>3299.97</v>
      </c>
      <c r="E194" s="5">
        <v>0.1</v>
      </c>
      <c r="F194" s="5">
        <v>5</v>
      </c>
      <c r="G194" s="6" t="str">
        <f t="shared" ref="G194:G257" si="3">TEXT(H194,"mmmm")</f>
        <v>January</v>
      </c>
      <c r="H194" s="7">
        <v>44932</v>
      </c>
      <c r="I194" s="7">
        <v>44939</v>
      </c>
      <c r="J194" s="5" t="s">
        <v>22</v>
      </c>
      <c r="K194" s="5" t="s">
        <v>17</v>
      </c>
      <c r="L194" s="5">
        <v>467.32</v>
      </c>
      <c r="M194" s="8" t="s">
        <v>87</v>
      </c>
    </row>
    <row r="195" spans="1:13">
      <c r="A195" s="9" t="s">
        <v>255</v>
      </c>
      <c r="B195" s="10" t="s">
        <v>20</v>
      </c>
      <c r="C195" s="10" t="s">
        <v>21</v>
      </c>
      <c r="D195" s="10">
        <v>1009.51</v>
      </c>
      <c r="E195" s="10">
        <v>0.22</v>
      </c>
      <c r="F195" s="10">
        <v>6</v>
      </c>
      <c r="G195" s="11" t="str">
        <f t="shared" si="3"/>
        <v>July</v>
      </c>
      <c r="H195" s="12">
        <v>45113</v>
      </c>
      <c r="I195" s="12">
        <v>45119</v>
      </c>
      <c r="J195" s="10" t="s">
        <v>16</v>
      </c>
      <c r="K195" s="10" t="s">
        <v>29</v>
      </c>
      <c r="L195" s="10">
        <v>170.18</v>
      </c>
      <c r="M195" s="13" t="s">
        <v>18</v>
      </c>
    </row>
    <row r="196" spans="1:13">
      <c r="A196" s="4" t="s">
        <v>256</v>
      </c>
      <c r="B196" s="5" t="s">
        <v>27</v>
      </c>
      <c r="C196" s="5" t="s">
        <v>21</v>
      </c>
      <c r="D196" s="5">
        <v>4137.1899999999996</v>
      </c>
      <c r="E196" s="5">
        <v>0.49</v>
      </c>
      <c r="F196" s="5">
        <v>9</v>
      </c>
      <c r="G196" s="6" t="str">
        <f t="shared" si="3"/>
        <v>December</v>
      </c>
      <c r="H196" s="7">
        <v>45629</v>
      </c>
      <c r="I196" s="7">
        <v>45632</v>
      </c>
      <c r="J196" s="5" t="s">
        <v>16</v>
      </c>
      <c r="K196" s="5" t="s">
        <v>17</v>
      </c>
      <c r="L196" s="5">
        <v>664.13</v>
      </c>
      <c r="M196" s="8" t="s">
        <v>84</v>
      </c>
    </row>
    <row r="197" spans="1:13">
      <c r="A197" s="9" t="s">
        <v>257</v>
      </c>
      <c r="B197" s="10" t="s">
        <v>35</v>
      </c>
      <c r="C197" s="10" t="s">
        <v>52</v>
      </c>
      <c r="D197" s="10">
        <v>982.95</v>
      </c>
      <c r="E197" s="10">
        <v>0.2</v>
      </c>
      <c r="F197" s="10">
        <v>5</v>
      </c>
      <c r="G197" s="11" t="str">
        <f t="shared" si="3"/>
        <v>February</v>
      </c>
      <c r="H197" s="12">
        <v>44969</v>
      </c>
      <c r="I197" s="12">
        <v>44973</v>
      </c>
      <c r="J197" s="10" t="s">
        <v>22</v>
      </c>
      <c r="K197" s="10" t="s">
        <v>29</v>
      </c>
      <c r="L197" s="10">
        <v>242.2</v>
      </c>
      <c r="M197" s="13" t="s">
        <v>54</v>
      </c>
    </row>
    <row r="198" spans="1:13">
      <c r="A198" s="4" t="s">
        <v>258</v>
      </c>
      <c r="B198" s="5" t="s">
        <v>14</v>
      </c>
      <c r="C198" s="5" t="s">
        <v>15</v>
      </c>
      <c r="D198" s="5">
        <v>1993.89</v>
      </c>
      <c r="E198" s="5">
        <v>0.17</v>
      </c>
      <c r="F198" s="5">
        <v>2</v>
      </c>
      <c r="G198" s="6" t="str">
        <f t="shared" si="3"/>
        <v>September</v>
      </c>
      <c r="H198" s="7">
        <v>45176</v>
      </c>
      <c r="I198" s="7">
        <v>45182</v>
      </c>
      <c r="J198" s="5" t="s">
        <v>16</v>
      </c>
      <c r="K198" s="5" t="s">
        <v>17</v>
      </c>
      <c r="L198" s="5">
        <v>508.95</v>
      </c>
      <c r="M198" s="8" t="s">
        <v>70</v>
      </c>
    </row>
    <row r="199" spans="1:13">
      <c r="A199" s="9" t="s">
        <v>259</v>
      </c>
      <c r="B199" s="10" t="s">
        <v>20</v>
      </c>
      <c r="C199" s="10" t="s">
        <v>28</v>
      </c>
      <c r="D199" s="10">
        <v>1266.33</v>
      </c>
      <c r="E199" s="10">
        <v>0.05</v>
      </c>
      <c r="F199" s="10">
        <v>1</v>
      </c>
      <c r="G199" s="11" t="str">
        <f t="shared" si="3"/>
        <v>July</v>
      </c>
      <c r="H199" s="12">
        <v>45123</v>
      </c>
      <c r="I199" s="12">
        <v>45127</v>
      </c>
      <c r="J199" s="10" t="s">
        <v>42</v>
      </c>
      <c r="K199" s="10" t="s">
        <v>23</v>
      </c>
      <c r="L199" s="10">
        <v>350.09</v>
      </c>
      <c r="M199" s="13" t="s">
        <v>25</v>
      </c>
    </row>
    <row r="200" spans="1:13">
      <c r="A200" s="4" t="s">
        <v>260</v>
      </c>
      <c r="B200" s="5" t="s">
        <v>27</v>
      </c>
      <c r="C200" s="5" t="s">
        <v>15</v>
      </c>
      <c r="D200" s="5">
        <v>4203.78</v>
      </c>
      <c r="E200" s="5">
        <v>0.38</v>
      </c>
      <c r="F200" s="5">
        <v>2</v>
      </c>
      <c r="G200" s="6" t="str">
        <f t="shared" si="3"/>
        <v>July</v>
      </c>
      <c r="H200" s="7">
        <v>45129</v>
      </c>
      <c r="I200" s="7">
        <v>45135</v>
      </c>
      <c r="J200" s="5" t="s">
        <v>22</v>
      </c>
      <c r="K200" s="5" t="s">
        <v>29</v>
      </c>
      <c r="L200" s="5">
        <v>451.8</v>
      </c>
      <c r="M200" s="8" t="s">
        <v>36</v>
      </c>
    </row>
    <row r="201" spans="1:13">
      <c r="A201" s="9" t="s">
        <v>261</v>
      </c>
      <c r="B201" s="10" t="s">
        <v>35</v>
      </c>
      <c r="C201" s="10" t="s">
        <v>15</v>
      </c>
      <c r="D201" s="10">
        <v>4305.8500000000004</v>
      </c>
      <c r="E201" s="10">
        <v>0.22</v>
      </c>
      <c r="F201" s="10">
        <v>8</v>
      </c>
      <c r="G201" s="11" t="str">
        <f t="shared" si="3"/>
        <v>July</v>
      </c>
      <c r="H201" s="12">
        <v>45115</v>
      </c>
      <c r="I201" s="12">
        <v>45117</v>
      </c>
      <c r="J201" s="10" t="s">
        <v>42</v>
      </c>
      <c r="K201" s="10" t="s">
        <v>23</v>
      </c>
      <c r="L201" s="10">
        <v>1195.98</v>
      </c>
      <c r="M201" s="13" t="s">
        <v>56</v>
      </c>
    </row>
    <row r="202" spans="1:13">
      <c r="A202" s="4" t="s">
        <v>262</v>
      </c>
      <c r="B202" s="5" t="s">
        <v>14</v>
      </c>
      <c r="C202" s="5" t="s">
        <v>52</v>
      </c>
      <c r="D202" s="5">
        <v>1922.94</v>
      </c>
      <c r="E202" s="5">
        <v>0.32</v>
      </c>
      <c r="F202" s="5">
        <v>1</v>
      </c>
      <c r="G202" s="6" t="str">
        <f t="shared" si="3"/>
        <v>April</v>
      </c>
      <c r="H202" s="7">
        <v>45399</v>
      </c>
      <c r="I202" s="7">
        <v>45406</v>
      </c>
      <c r="J202" s="5" t="s">
        <v>22</v>
      </c>
      <c r="K202" s="5" t="s">
        <v>29</v>
      </c>
      <c r="L202" s="5">
        <v>235.46</v>
      </c>
      <c r="M202" s="8" t="s">
        <v>87</v>
      </c>
    </row>
    <row r="203" spans="1:13">
      <c r="A203" s="9" t="s">
        <v>263</v>
      </c>
      <c r="B203" s="10" t="s">
        <v>20</v>
      </c>
      <c r="C203" s="10" t="s">
        <v>28</v>
      </c>
      <c r="D203" s="10">
        <v>1606.15</v>
      </c>
      <c r="E203" s="10">
        <v>0.25</v>
      </c>
      <c r="F203" s="10">
        <v>6</v>
      </c>
      <c r="G203" s="11" t="str">
        <f t="shared" si="3"/>
        <v>September</v>
      </c>
      <c r="H203" s="12">
        <v>45199</v>
      </c>
      <c r="I203" s="12">
        <v>45203</v>
      </c>
      <c r="J203" s="10" t="s">
        <v>22</v>
      </c>
      <c r="K203" s="10" t="s">
        <v>23</v>
      </c>
      <c r="L203" s="10">
        <v>432.87</v>
      </c>
      <c r="M203" s="13" t="s">
        <v>118</v>
      </c>
    </row>
    <row r="204" spans="1:13">
      <c r="A204" s="4" t="s">
        <v>264</v>
      </c>
      <c r="B204" s="5" t="s">
        <v>27</v>
      </c>
      <c r="C204" s="5" t="s">
        <v>47</v>
      </c>
      <c r="D204" s="5">
        <v>3890.47</v>
      </c>
      <c r="E204" s="5">
        <v>0.09</v>
      </c>
      <c r="F204" s="5">
        <v>5</v>
      </c>
      <c r="G204" s="6" t="str">
        <f t="shared" si="3"/>
        <v>November</v>
      </c>
      <c r="H204" s="7">
        <v>45616</v>
      </c>
      <c r="I204" s="7">
        <v>45621</v>
      </c>
      <c r="J204" s="5" t="s">
        <v>22</v>
      </c>
      <c r="K204" s="5" t="s">
        <v>29</v>
      </c>
      <c r="L204" s="5">
        <v>1028.18</v>
      </c>
      <c r="M204" s="8" t="s">
        <v>24</v>
      </c>
    </row>
    <row r="205" spans="1:13">
      <c r="A205" s="9" t="s">
        <v>265</v>
      </c>
      <c r="B205" s="10" t="s">
        <v>35</v>
      </c>
      <c r="C205" s="10" t="s">
        <v>28</v>
      </c>
      <c r="D205" s="10">
        <v>4404.71</v>
      </c>
      <c r="E205" s="10">
        <v>0.09</v>
      </c>
      <c r="F205" s="10">
        <v>9</v>
      </c>
      <c r="G205" s="11" t="str">
        <f t="shared" si="3"/>
        <v>March</v>
      </c>
      <c r="H205" s="12">
        <v>45016</v>
      </c>
      <c r="I205" s="12">
        <v>45017</v>
      </c>
      <c r="J205" s="10" t="s">
        <v>22</v>
      </c>
      <c r="K205" s="10" t="s">
        <v>29</v>
      </c>
      <c r="L205" s="10">
        <v>721</v>
      </c>
      <c r="M205" s="13" t="s">
        <v>70</v>
      </c>
    </row>
    <row r="206" spans="1:13">
      <c r="A206" s="4" t="s">
        <v>266</v>
      </c>
      <c r="B206" s="5" t="s">
        <v>14</v>
      </c>
      <c r="C206" s="5" t="s">
        <v>47</v>
      </c>
      <c r="D206" s="5">
        <v>3157.7</v>
      </c>
      <c r="E206" s="5">
        <v>0.47</v>
      </c>
      <c r="F206" s="5">
        <v>4</v>
      </c>
      <c r="G206" s="6" t="str">
        <f t="shared" si="3"/>
        <v>September</v>
      </c>
      <c r="H206" s="7">
        <v>45196</v>
      </c>
      <c r="I206" s="7">
        <v>45203</v>
      </c>
      <c r="J206" s="5" t="s">
        <v>42</v>
      </c>
      <c r="K206" s="5" t="s">
        <v>17</v>
      </c>
      <c r="L206" s="5">
        <v>788.19</v>
      </c>
      <c r="M206" s="8" t="s">
        <v>84</v>
      </c>
    </row>
    <row r="207" spans="1:13">
      <c r="A207" s="9" t="s">
        <v>267</v>
      </c>
      <c r="B207" s="10" t="s">
        <v>20</v>
      </c>
      <c r="C207" s="10" t="s">
        <v>28</v>
      </c>
      <c r="D207" s="10">
        <v>4644.28</v>
      </c>
      <c r="E207" s="10">
        <v>0.44</v>
      </c>
      <c r="F207" s="10">
        <v>5</v>
      </c>
      <c r="G207" s="11" t="str">
        <f t="shared" si="3"/>
        <v>July</v>
      </c>
      <c r="H207" s="12">
        <v>45477</v>
      </c>
      <c r="I207" s="12">
        <v>45481</v>
      </c>
      <c r="J207" s="10" t="s">
        <v>42</v>
      </c>
      <c r="K207" s="10" t="s">
        <v>29</v>
      </c>
      <c r="L207" s="10">
        <v>1095.22</v>
      </c>
      <c r="M207" s="13" t="s">
        <v>82</v>
      </c>
    </row>
    <row r="208" spans="1:13">
      <c r="A208" s="4" t="s">
        <v>268</v>
      </c>
      <c r="B208" s="5" t="s">
        <v>27</v>
      </c>
      <c r="C208" s="5" t="s">
        <v>21</v>
      </c>
      <c r="D208" s="5">
        <v>1976.91</v>
      </c>
      <c r="E208" s="5">
        <v>0.31</v>
      </c>
      <c r="F208" s="5">
        <v>5</v>
      </c>
      <c r="G208" s="6" t="str">
        <f t="shared" si="3"/>
        <v>April</v>
      </c>
      <c r="H208" s="7">
        <v>45046</v>
      </c>
      <c r="I208" s="7">
        <v>45051</v>
      </c>
      <c r="J208" s="5" t="s">
        <v>22</v>
      </c>
      <c r="K208" s="5" t="s">
        <v>29</v>
      </c>
      <c r="L208" s="5">
        <v>121.08</v>
      </c>
      <c r="M208" s="8" t="s">
        <v>87</v>
      </c>
    </row>
    <row r="209" spans="1:13">
      <c r="A209" s="9" t="s">
        <v>269</v>
      </c>
      <c r="B209" s="10" t="s">
        <v>35</v>
      </c>
      <c r="C209" s="10" t="s">
        <v>28</v>
      </c>
      <c r="D209" s="10">
        <v>844.24</v>
      </c>
      <c r="E209" s="10">
        <v>0</v>
      </c>
      <c r="F209" s="10">
        <v>2</v>
      </c>
      <c r="G209" s="11" t="str">
        <f t="shared" si="3"/>
        <v>July</v>
      </c>
      <c r="H209" s="12">
        <v>45493</v>
      </c>
      <c r="I209" s="12">
        <v>45498</v>
      </c>
      <c r="J209" s="10" t="s">
        <v>22</v>
      </c>
      <c r="K209" s="10" t="s">
        <v>23</v>
      </c>
      <c r="L209" s="10">
        <v>47.74</v>
      </c>
      <c r="M209" s="13" t="s">
        <v>63</v>
      </c>
    </row>
    <row r="210" spans="1:13">
      <c r="A210" s="4" t="s">
        <v>270</v>
      </c>
      <c r="B210" s="5" t="s">
        <v>14</v>
      </c>
      <c r="C210" s="5" t="s">
        <v>52</v>
      </c>
      <c r="D210" s="5">
        <v>980.25</v>
      </c>
      <c r="E210" s="5">
        <v>0.22</v>
      </c>
      <c r="F210" s="5">
        <v>2</v>
      </c>
      <c r="G210" s="6" t="str">
        <f t="shared" si="3"/>
        <v>August</v>
      </c>
      <c r="H210" s="7">
        <v>45166</v>
      </c>
      <c r="I210" s="7">
        <v>45169</v>
      </c>
      <c r="J210" s="5" t="s">
        <v>42</v>
      </c>
      <c r="K210" s="5" t="s">
        <v>23</v>
      </c>
      <c r="L210" s="5">
        <v>70.55</v>
      </c>
      <c r="M210" s="8" t="s">
        <v>54</v>
      </c>
    </row>
    <row r="211" spans="1:13">
      <c r="A211" s="9" t="s">
        <v>271</v>
      </c>
      <c r="B211" s="10" t="s">
        <v>20</v>
      </c>
      <c r="C211" s="10" t="s">
        <v>47</v>
      </c>
      <c r="D211" s="10">
        <v>3382.18</v>
      </c>
      <c r="E211" s="10">
        <v>0.27</v>
      </c>
      <c r="F211" s="10">
        <v>9</v>
      </c>
      <c r="G211" s="11" t="str">
        <f t="shared" si="3"/>
        <v>September</v>
      </c>
      <c r="H211" s="12">
        <v>45191</v>
      </c>
      <c r="I211" s="12">
        <v>45196</v>
      </c>
      <c r="J211" s="10" t="s">
        <v>22</v>
      </c>
      <c r="K211" s="10" t="s">
        <v>23</v>
      </c>
      <c r="L211" s="10">
        <v>970.91</v>
      </c>
      <c r="M211" s="13" t="s">
        <v>18</v>
      </c>
    </row>
    <row r="212" spans="1:13">
      <c r="A212" s="4" t="s">
        <v>272</v>
      </c>
      <c r="B212" s="5" t="s">
        <v>27</v>
      </c>
      <c r="C212" s="5" t="s">
        <v>15</v>
      </c>
      <c r="D212" s="5">
        <v>2096.88</v>
      </c>
      <c r="E212" s="5">
        <v>0.22</v>
      </c>
      <c r="F212" s="5">
        <v>3</v>
      </c>
      <c r="G212" s="6" t="str">
        <f t="shared" si="3"/>
        <v>July</v>
      </c>
      <c r="H212" s="7">
        <v>45117</v>
      </c>
      <c r="I212" s="7">
        <v>45120</v>
      </c>
      <c r="J212" s="5" t="s">
        <v>22</v>
      </c>
      <c r="K212" s="5" t="s">
        <v>23</v>
      </c>
      <c r="L212" s="5">
        <v>478.55</v>
      </c>
      <c r="M212" s="8" t="s">
        <v>84</v>
      </c>
    </row>
    <row r="213" spans="1:13">
      <c r="A213" s="9" t="s">
        <v>273</v>
      </c>
      <c r="B213" s="10" t="s">
        <v>35</v>
      </c>
      <c r="C213" s="10" t="s">
        <v>52</v>
      </c>
      <c r="D213" s="10">
        <v>865.94</v>
      </c>
      <c r="E213" s="10">
        <v>0.46</v>
      </c>
      <c r="F213" s="10">
        <v>6</v>
      </c>
      <c r="G213" s="11" t="str">
        <f t="shared" si="3"/>
        <v>October</v>
      </c>
      <c r="H213" s="12">
        <v>45209</v>
      </c>
      <c r="I213" s="12">
        <v>45214</v>
      </c>
      <c r="J213" s="10" t="s">
        <v>42</v>
      </c>
      <c r="K213" s="10" t="s">
        <v>17</v>
      </c>
      <c r="L213" s="10">
        <v>133.02000000000001</v>
      </c>
      <c r="M213" s="13" t="s">
        <v>118</v>
      </c>
    </row>
    <row r="214" spans="1:13">
      <c r="A214" s="4" t="s">
        <v>274</v>
      </c>
      <c r="B214" s="5" t="s">
        <v>14</v>
      </c>
      <c r="C214" s="5" t="s">
        <v>47</v>
      </c>
      <c r="D214" s="5">
        <v>1531.91</v>
      </c>
      <c r="E214" s="5">
        <v>0.02</v>
      </c>
      <c r="F214" s="5">
        <v>4</v>
      </c>
      <c r="G214" s="6" t="str">
        <f t="shared" si="3"/>
        <v>November</v>
      </c>
      <c r="H214" s="7">
        <v>45601</v>
      </c>
      <c r="I214" s="7">
        <v>45603</v>
      </c>
      <c r="J214" s="5" t="s">
        <v>42</v>
      </c>
      <c r="K214" s="5" t="s">
        <v>23</v>
      </c>
      <c r="L214" s="5">
        <v>161.16</v>
      </c>
      <c r="M214" s="8" t="s">
        <v>82</v>
      </c>
    </row>
    <row r="215" spans="1:13">
      <c r="A215" s="9" t="s">
        <v>275</v>
      </c>
      <c r="B215" s="10" t="s">
        <v>20</v>
      </c>
      <c r="C215" s="10" t="s">
        <v>47</v>
      </c>
      <c r="D215" s="10">
        <v>2699.96</v>
      </c>
      <c r="E215" s="10">
        <v>0.33</v>
      </c>
      <c r="F215" s="10">
        <v>4</v>
      </c>
      <c r="G215" s="11" t="str">
        <f t="shared" si="3"/>
        <v>April</v>
      </c>
      <c r="H215" s="12">
        <v>45390</v>
      </c>
      <c r="I215" s="12">
        <v>45392</v>
      </c>
      <c r="J215" s="10" t="s">
        <v>42</v>
      </c>
      <c r="K215" s="10" t="s">
        <v>17</v>
      </c>
      <c r="L215" s="10">
        <v>774.75</v>
      </c>
      <c r="M215" s="13" t="s">
        <v>59</v>
      </c>
    </row>
    <row r="216" spans="1:13">
      <c r="A216" s="4" t="s">
        <v>276</v>
      </c>
      <c r="B216" s="5" t="s">
        <v>27</v>
      </c>
      <c r="C216" s="5" t="s">
        <v>15</v>
      </c>
      <c r="D216" s="5">
        <v>695.08</v>
      </c>
      <c r="E216" s="5">
        <v>0.16</v>
      </c>
      <c r="F216" s="5">
        <v>5</v>
      </c>
      <c r="G216" s="6" t="str">
        <f t="shared" si="3"/>
        <v>December</v>
      </c>
      <c r="H216" s="7">
        <v>45652</v>
      </c>
      <c r="I216" s="7">
        <v>45654</v>
      </c>
      <c r="J216" s="5" t="s">
        <v>16</v>
      </c>
      <c r="K216" s="5" t="s">
        <v>17</v>
      </c>
      <c r="L216" s="5">
        <v>77.209999999999994</v>
      </c>
      <c r="M216" s="8" t="s">
        <v>63</v>
      </c>
    </row>
    <row r="217" spans="1:13">
      <c r="A217" s="9" t="s">
        <v>277</v>
      </c>
      <c r="B217" s="10" t="s">
        <v>35</v>
      </c>
      <c r="C217" s="10" t="s">
        <v>21</v>
      </c>
      <c r="D217" s="10">
        <v>116.87</v>
      </c>
      <c r="E217" s="10">
        <v>0.28000000000000003</v>
      </c>
      <c r="F217" s="10">
        <v>5</v>
      </c>
      <c r="G217" s="11" t="str">
        <f t="shared" si="3"/>
        <v>March</v>
      </c>
      <c r="H217" s="12">
        <v>45016</v>
      </c>
      <c r="I217" s="12">
        <v>45018</v>
      </c>
      <c r="J217" s="10" t="s">
        <v>22</v>
      </c>
      <c r="K217" s="10" t="s">
        <v>23</v>
      </c>
      <c r="L217" s="10">
        <v>21.73</v>
      </c>
      <c r="M217" s="13" t="s">
        <v>24</v>
      </c>
    </row>
    <row r="218" spans="1:13">
      <c r="A218" s="4" t="s">
        <v>278</v>
      </c>
      <c r="B218" s="5" t="s">
        <v>14</v>
      </c>
      <c r="C218" s="5" t="s">
        <v>52</v>
      </c>
      <c r="D218" s="5">
        <v>4594.76</v>
      </c>
      <c r="E218" s="5">
        <v>0.33</v>
      </c>
      <c r="F218" s="5">
        <v>7</v>
      </c>
      <c r="G218" s="6" t="str">
        <f t="shared" si="3"/>
        <v>December</v>
      </c>
      <c r="H218" s="7">
        <v>45285</v>
      </c>
      <c r="I218" s="7">
        <v>45291</v>
      </c>
      <c r="J218" s="5" t="s">
        <v>42</v>
      </c>
      <c r="K218" s="5" t="s">
        <v>23</v>
      </c>
      <c r="L218" s="5">
        <v>509.07</v>
      </c>
      <c r="M218" s="8" t="s">
        <v>74</v>
      </c>
    </row>
    <row r="219" spans="1:13">
      <c r="A219" s="9" t="s">
        <v>279</v>
      </c>
      <c r="B219" s="10" t="s">
        <v>20</v>
      </c>
      <c r="C219" s="10" t="s">
        <v>15</v>
      </c>
      <c r="D219" s="10">
        <v>1593.82</v>
      </c>
      <c r="E219" s="10">
        <v>0.22</v>
      </c>
      <c r="F219" s="10">
        <v>7</v>
      </c>
      <c r="G219" s="11" t="str">
        <f t="shared" si="3"/>
        <v>January</v>
      </c>
      <c r="H219" s="12">
        <v>45306</v>
      </c>
      <c r="I219" s="12">
        <v>45308</v>
      </c>
      <c r="J219" s="10" t="s">
        <v>22</v>
      </c>
      <c r="K219" s="10" t="s">
        <v>23</v>
      </c>
      <c r="L219" s="10">
        <v>369.28</v>
      </c>
      <c r="M219" s="13" t="s">
        <v>54</v>
      </c>
    </row>
    <row r="220" spans="1:13">
      <c r="A220" s="4" t="s">
        <v>280</v>
      </c>
      <c r="B220" s="5" t="s">
        <v>27</v>
      </c>
      <c r="C220" s="5" t="s">
        <v>15</v>
      </c>
      <c r="D220" s="5">
        <v>1185.3399999999999</v>
      </c>
      <c r="E220" s="5">
        <v>7.0000000000000007E-2</v>
      </c>
      <c r="F220" s="5">
        <v>1</v>
      </c>
      <c r="G220" s="6" t="str">
        <f t="shared" si="3"/>
        <v>June</v>
      </c>
      <c r="H220" s="7">
        <v>45093</v>
      </c>
      <c r="I220" s="7">
        <v>45100</v>
      </c>
      <c r="J220" s="5" t="s">
        <v>16</v>
      </c>
      <c r="K220" s="5" t="s">
        <v>29</v>
      </c>
      <c r="L220" s="5">
        <v>110.39</v>
      </c>
      <c r="M220" s="8" t="s">
        <v>77</v>
      </c>
    </row>
    <row r="221" spans="1:13">
      <c r="A221" s="9" t="s">
        <v>281</v>
      </c>
      <c r="B221" s="10" t="s">
        <v>35</v>
      </c>
      <c r="C221" s="10" t="s">
        <v>21</v>
      </c>
      <c r="D221" s="10">
        <v>3522.56</v>
      </c>
      <c r="E221" s="10">
        <v>0.26</v>
      </c>
      <c r="F221" s="10">
        <v>6</v>
      </c>
      <c r="G221" s="11" t="str">
        <f t="shared" si="3"/>
        <v>November</v>
      </c>
      <c r="H221" s="12">
        <v>45618</v>
      </c>
      <c r="I221" s="12">
        <v>45625</v>
      </c>
      <c r="J221" s="10" t="s">
        <v>42</v>
      </c>
      <c r="K221" s="10" t="s">
        <v>23</v>
      </c>
      <c r="L221" s="10">
        <v>700.49</v>
      </c>
      <c r="M221" s="13" t="s">
        <v>59</v>
      </c>
    </row>
    <row r="222" spans="1:13">
      <c r="A222" s="4" t="s">
        <v>282</v>
      </c>
      <c r="B222" s="5" t="s">
        <v>14</v>
      </c>
      <c r="C222" s="5" t="s">
        <v>52</v>
      </c>
      <c r="D222" s="5">
        <v>4281.67</v>
      </c>
      <c r="E222" s="5">
        <v>0.47</v>
      </c>
      <c r="F222" s="5">
        <v>4</v>
      </c>
      <c r="G222" s="6" t="str">
        <f t="shared" si="3"/>
        <v>September</v>
      </c>
      <c r="H222" s="7">
        <v>45542</v>
      </c>
      <c r="I222" s="7">
        <v>45547</v>
      </c>
      <c r="J222" s="5" t="s">
        <v>42</v>
      </c>
      <c r="K222" s="5" t="s">
        <v>23</v>
      </c>
      <c r="L222" s="5">
        <v>909.46</v>
      </c>
      <c r="M222" s="8" t="s">
        <v>87</v>
      </c>
    </row>
    <row r="223" spans="1:13">
      <c r="A223" s="9" t="s">
        <v>283</v>
      </c>
      <c r="B223" s="10" t="s">
        <v>20</v>
      </c>
      <c r="C223" s="10" t="s">
        <v>15</v>
      </c>
      <c r="D223" s="10">
        <v>3198.17</v>
      </c>
      <c r="E223" s="10">
        <v>0.27</v>
      </c>
      <c r="F223" s="10">
        <v>2</v>
      </c>
      <c r="G223" s="11" t="str">
        <f t="shared" si="3"/>
        <v>July</v>
      </c>
      <c r="H223" s="12">
        <v>45496</v>
      </c>
      <c r="I223" s="12">
        <v>45500</v>
      </c>
      <c r="J223" s="10" t="s">
        <v>22</v>
      </c>
      <c r="K223" s="10" t="s">
        <v>17</v>
      </c>
      <c r="L223" s="10">
        <v>930.63</v>
      </c>
      <c r="M223" s="13" t="s">
        <v>36</v>
      </c>
    </row>
    <row r="224" spans="1:13">
      <c r="A224" s="4" t="s">
        <v>284</v>
      </c>
      <c r="B224" s="5" t="s">
        <v>27</v>
      </c>
      <c r="C224" s="5" t="s">
        <v>21</v>
      </c>
      <c r="D224" s="5">
        <v>1346.97</v>
      </c>
      <c r="E224" s="5">
        <v>0.06</v>
      </c>
      <c r="F224" s="5">
        <v>6</v>
      </c>
      <c r="G224" s="6" t="str">
        <f t="shared" si="3"/>
        <v>July</v>
      </c>
      <c r="H224" s="7">
        <v>45130</v>
      </c>
      <c r="I224" s="7">
        <v>45134</v>
      </c>
      <c r="J224" s="5" t="s">
        <v>22</v>
      </c>
      <c r="K224" s="5" t="s">
        <v>23</v>
      </c>
      <c r="L224" s="5">
        <v>270.37</v>
      </c>
      <c r="M224" s="8" t="s">
        <v>74</v>
      </c>
    </row>
    <row r="225" spans="1:13">
      <c r="A225" s="9" t="s">
        <v>285</v>
      </c>
      <c r="B225" s="10" t="s">
        <v>35</v>
      </c>
      <c r="C225" s="10" t="s">
        <v>52</v>
      </c>
      <c r="D225" s="10">
        <v>4322.0200000000004</v>
      </c>
      <c r="E225" s="10">
        <v>0.41</v>
      </c>
      <c r="F225" s="10">
        <v>7</v>
      </c>
      <c r="G225" s="11" t="str">
        <f t="shared" si="3"/>
        <v>May</v>
      </c>
      <c r="H225" s="12">
        <v>45052</v>
      </c>
      <c r="I225" s="12">
        <v>45056</v>
      </c>
      <c r="J225" s="10" t="s">
        <v>42</v>
      </c>
      <c r="K225" s="10" t="s">
        <v>29</v>
      </c>
      <c r="L225" s="10">
        <v>740.19</v>
      </c>
      <c r="M225" s="13" t="s">
        <v>24</v>
      </c>
    </row>
    <row r="226" spans="1:13">
      <c r="A226" s="4" t="s">
        <v>286</v>
      </c>
      <c r="B226" s="5" t="s">
        <v>14</v>
      </c>
      <c r="C226" s="5" t="s">
        <v>28</v>
      </c>
      <c r="D226" s="5">
        <v>2601.09</v>
      </c>
      <c r="E226" s="5">
        <v>0.11</v>
      </c>
      <c r="F226" s="5">
        <v>2</v>
      </c>
      <c r="G226" s="6" t="str">
        <f t="shared" si="3"/>
        <v>April</v>
      </c>
      <c r="H226" s="7">
        <v>45391</v>
      </c>
      <c r="I226" s="7">
        <v>45393</v>
      </c>
      <c r="J226" s="5" t="s">
        <v>42</v>
      </c>
      <c r="K226" s="5" t="s">
        <v>23</v>
      </c>
      <c r="L226" s="5">
        <v>385.44</v>
      </c>
      <c r="M226" s="8" t="s">
        <v>56</v>
      </c>
    </row>
    <row r="227" spans="1:13">
      <c r="A227" s="9" t="s">
        <v>287</v>
      </c>
      <c r="B227" s="10" t="s">
        <v>20</v>
      </c>
      <c r="C227" s="10" t="s">
        <v>47</v>
      </c>
      <c r="D227" s="10">
        <v>1967.83</v>
      </c>
      <c r="E227" s="10">
        <v>0.19</v>
      </c>
      <c r="F227" s="10">
        <v>2</v>
      </c>
      <c r="G227" s="11" t="str">
        <f t="shared" si="3"/>
        <v>December</v>
      </c>
      <c r="H227" s="12">
        <v>45271</v>
      </c>
      <c r="I227" s="12">
        <v>45273</v>
      </c>
      <c r="J227" s="10" t="s">
        <v>22</v>
      </c>
      <c r="K227" s="10" t="s">
        <v>23</v>
      </c>
      <c r="L227" s="10">
        <v>150.44999999999999</v>
      </c>
      <c r="M227" s="13" t="s">
        <v>36</v>
      </c>
    </row>
    <row r="228" spans="1:13">
      <c r="A228" s="4" t="s">
        <v>288</v>
      </c>
      <c r="B228" s="5" t="s">
        <v>27</v>
      </c>
      <c r="C228" s="5" t="s">
        <v>21</v>
      </c>
      <c r="D228" s="5">
        <v>3063.16</v>
      </c>
      <c r="E228" s="5">
        <v>0.21</v>
      </c>
      <c r="F228" s="5">
        <v>7</v>
      </c>
      <c r="G228" s="6" t="str">
        <f t="shared" si="3"/>
        <v>October</v>
      </c>
      <c r="H228" s="7">
        <v>45595</v>
      </c>
      <c r="I228" s="7">
        <v>45600</v>
      </c>
      <c r="J228" s="5" t="s">
        <v>22</v>
      </c>
      <c r="K228" s="5" t="s">
        <v>17</v>
      </c>
      <c r="L228" s="5">
        <v>706.04</v>
      </c>
      <c r="M228" s="8" t="s">
        <v>56</v>
      </c>
    </row>
    <row r="229" spans="1:13">
      <c r="A229" s="9" t="s">
        <v>289</v>
      </c>
      <c r="B229" s="10" t="s">
        <v>35</v>
      </c>
      <c r="C229" s="10" t="s">
        <v>47</v>
      </c>
      <c r="D229" s="10">
        <v>3533</v>
      </c>
      <c r="E229" s="10">
        <v>0.17</v>
      </c>
      <c r="F229" s="10">
        <v>9</v>
      </c>
      <c r="G229" s="11" t="str">
        <f t="shared" si="3"/>
        <v>March</v>
      </c>
      <c r="H229" s="12">
        <v>45352</v>
      </c>
      <c r="I229" s="12">
        <v>45359</v>
      </c>
      <c r="J229" s="10" t="s">
        <v>42</v>
      </c>
      <c r="K229" s="10" t="s">
        <v>29</v>
      </c>
      <c r="L229" s="10">
        <v>394.98</v>
      </c>
      <c r="M229" s="13" t="s">
        <v>113</v>
      </c>
    </row>
    <row r="230" spans="1:13">
      <c r="A230" s="4" t="s">
        <v>290</v>
      </c>
      <c r="B230" s="5" t="s">
        <v>14</v>
      </c>
      <c r="C230" s="5" t="s">
        <v>28</v>
      </c>
      <c r="D230" s="5">
        <v>3009.77</v>
      </c>
      <c r="E230" s="5">
        <v>0.2</v>
      </c>
      <c r="F230" s="5">
        <v>3</v>
      </c>
      <c r="G230" s="6" t="str">
        <f t="shared" si="3"/>
        <v>June</v>
      </c>
      <c r="H230" s="7">
        <v>45466</v>
      </c>
      <c r="I230" s="7">
        <v>45472</v>
      </c>
      <c r="J230" s="5" t="s">
        <v>16</v>
      </c>
      <c r="K230" s="5" t="s">
        <v>29</v>
      </c>
      <c r="L230" s="5">
        <v>385.71</v>
      </c>
      <c r="M230" s="8" t="s">
        <v>82</v>
      </c>
    </row>
    <row r="231" spans="1:13">
      <c r="A231" s="9" t="s">
        <v>291</v>
      </c>
      <c r="B231" s="10" t="s">
        <v>20</v>
      </c>
      <c r="C231" s="10" t="s">
        <v>15</v>
      </c>
      <c r="D231" s="10">
        <v>4609.2</v>
      </c>
      <c r="E231" s="10">
        <v>0.4</v>
      </c>
      <c r="F231" s="10">
        <v>3</v>
      </c>
      <c r="G231" s="11" t="str">
        <f t="shared" si="3"/>
        <v>July</v>
      </c>
      <c r="H231" s="12">
        <v>45137</v>
      </c>
      <c r="I231" s="12">
        <v>45144</v>
      </c>
      <c r="J231" s="10" t="s">
        <v>22</v>
      </c>
      <c r="K231" s="10" t="s">
        <v>23</v>
      </c>
      <c r="L231" s="10">
        <v>244.12</v>
      </c>
      <c r="M231" s="13" t="s">
        <v>63</v>
      </c>
    </row>
    <row r="232" spans="1:13">
      <c r="A232" s="4" t="s">
        <v>292</v>
      </c>
      <c r="B232" s="5" t="s">
        <v>27</v>
      </c>
      <c r="C232" s="5" t="s">
        <v>15</v>
      </c>
      <c r="D232" s="5">
        <v>3177.29</v>
      </c>
      <c r="E232" s="5">
        <v>0.11</v>
      </c>
      <c r="F232" s="5">
        <v>8</v>
      </c>
      <c r="G232" s="6" t="str">
        <f t="shared" si="3"/>
        <v>September</v>
      </c>
      <c r="H232" s="7">
        <v>45192</v>
      </c>
      <c r="I232" s="7">
        <v>45196</v>
      </c>
      <c r="J232" s="5" t="s">
        <v>22</v>
      </c>
      <c r="K232" s="5" t="s">
        <v>29</v>
      </c>
      <c r="L232" s="5">
        <v>682.33</v>
      </c>
      <c r="M232" s="8" t="s">
        <v>113</v>
      </c>
    </row>
    <row r="233" spans="1:13">
      <c r="A233" s="9" t="s">
        <v>293</v>
      </c>
      <c r="B233" s="10" t="s">
        <v>35</v>
      </c>
      <c r="C233" s="10" t="s">
        <v>52</v>
      </c>
      <c r="D233" s="10">
        <v>4405.05</v>
      </c>
      <c r="E233" s="10">
        <v>0.24</v>
      </c>
      <c r="F233" s="10">
        <v>2</v>
      </c>
      <c r="G233" s="11" t="str">
        <f t="shared" si="3"/>
        <v>September</v>
      </c>
      <c r="H233" s="12">
        <v>45193</v>
      </c>
      <c r="I233" s="12">
        <v>45200</v>
      </c>
      <c r="J233" s="10" t="s">
        <v>22</v>
      </c>
      <c r="K233" s="10" t="s">
        <v>23</v>
      </c>
      <c r="L233" s="10">
        <v>1055.96</v>
      </c>
      <c r="M233" s="13" t="s">
        <v>118</v>
      </c>
    </row>
    <row r="234" spans="1:13">
      <c r="A234" s="4" t="s">
        <v>294</v>
      </c>
      <c r="B234" s="5" t="s">
        <v>14</v>
      </c>
      <c r="C234" s="5" t="s">
        <v>21</v>
      </c>
      <c r="D234" s="5">
        <v>2976.1</v>
      </c>
      <c r="E234" s="5">
        <v>0.01</v>
      </c>
      <c r="F234" s="5">
        <v>9</v>
      </c>
      <c r="G234" s="6" t="str">
        <f t="shared" si="3"/>
        <v>September</v>
      </c>
      <c r="H234" s="7">
        <v>45180</v>
      </c>
      <c r="I234" s="7">
        <v>45187</v>
      </c>
      <c r="J234" s="5" t="s">
        <v>42</v>
      </c>
      <c r="K234" s="5" t="s">
        <v>17</v>
      </c>
      <c r="L234" s="5">
        <v>219.01</v>
      </c>
      <c r="M234" s="8" t="s">
        <v>54</v>
      </c>
    </row>
    <row r="235" spans="1:13">
      <c r="A235" s="9" t="s">
        <v>295</v>
      </c>
      <c r="B235" s="10" t="s">
        <v>20</v>
      </c>
      <c r="C235" s="10" t="s">
        <v>21</v>
      </c>
      <c r="D235" s="10">
        <v>1715.43</v>
      </c>
      <c r="E235" s="10">
        <v>0.25</v>
      </c>
      <c r="F235" s="10">
        <v>7</v>
      </c>
      <c r="G235" s="11" t="str">
        <f t="shared" si="3"/>
        <v>July</v>
      </c>
      <c r="H235" s="12">
        <v>45114</v>
      </c>
      <c r="I235" s="12">
        <v>45121</v>
      </c>
      <c r="J235" s="10" t="s">
        <v>42</v>
      </c>
      <c r="K235" s="10" t="s">
        <v>29</v>
      </c>
      <c r="L235" s="10">
        <v>144.54</v>
      </c>
      <c r="M235" s="13" t="s">
        <v>113</v>
      </c>
    </row>
    <row r="236" spans="1:13">
      <c r="A236" s="4" t="s">
        <v>296</v>
      </c>
      <c r="B236" s="5" t="s">
        <v>27</v>
      </c>
      <c r="C236" s="5" t="s">
        <v>52</v>
      </c>
      <c r="D236" s="5">
        <v>2708.25</v>
      </c>
      <c r="E236" s="5">
        <v>0.06</v>
      </c>
      <c r="F236" s="5">
        <v>8</v>
      </c>
      <c r="G236" s="6" t="str">
        <f t="shared" si="3"/>
        <v>January</v>
      </c>
      <c r="H236" s="7">
        <v>44956</v>
      </c>
      <c r="I236" s="7">
        <v>44962</v>
      </c>
      <c r="J236" s="5" t="s">
        <v>42</v>
      </c>
      <c r="K236" s="5" t="s">
        <v>23</v>
      </c>
      <c r="L236" s="5">
        <v>692.61</v>
      </c>
      <c r="M236" s="8" t="s">
        <v>77</v>
      </c>
    </row>
    <row r="237" spans="1:13">
      <c r="A237" s="9" t="s">
        <v>297</v>
      </c>
      <c r="B237" s="10" t="s">
        <v>35</v>
      </c>
      <c r="C237" s="10" t="s">
        <v>47</v>
      </c>
      <c r="D237" s="10">
        <v>523.04999999999995</v>
      </c>
      <c r="E237" s="10">
        <v>0.14000000000000001</v>
      </c>
      <c r="F237" s="10">
        <v>9</v>
      </c>
      <c r="G237" s="11" t="str">
        <f t="shared" si="3"/>
        <v>November</v>
      </c>
      <c r="H237" s="12">
        <v>45231</v>
      </c>
      <c r="I237" s="12">
        <v>45234</v>
      </c>
      <c r="J237" s="10" t="s">
        <v>22</v>
      </c>
      <c r="K237" s="10" t="s">
        <v>17</v>
      </c>
      <c r="L237" s="10">
        <v>122.23</v>
      </c>
      <c r="M237" s="13" t="s">
        <v>25</v>
      </c>
    </row>
    <row r="238" spans="1:13">
      <c r="A238" s="4" t="s">
        <v>298</v>
      </c>
      <c r="B238" s="5" t="s">
        <v>14</v>
      </c>
      <c r="C238" s="5" t="s">
        <v>15</v>
      </c>
      <c r="D238" s="5">
        <v>1227.8599999999999</v>
      </c>
      <c r="E238" s="5">
        <v>0.16</v>
      </c>
      <c r="F238" s="5">
        <v>3</v>
      </c>
      <c r="G238" s="6" t="str">
        <f t="shared" si="3"/>
        <v>March</v>
      </c>
      <c r="H238" s="7">
        <v>45379</v>
      </c>
      <c r="I238" s="7">
        <v>45381</v>
      </c>
      <c r="J238" s="5" t="s">
        <v>22</v>
      </c>
      <c r="K238" s="5" t="s">
        <v>17</v>
      </c>
      <c r="L238" s="5">
        <v>99.39</v>
      </c>
      <c r="M238" s="8" t="s">
        <v>18</v>
      </c>
    </row>
    <row r="239" spans="1:13">
      <c r="A239" s="9" t="s">
        <v>299</v>
      </c>
      <c r="B239" s="10" t="s">
        <v>20</v>
      </c>
      <c r="C239" s="10" t="s">
        <v>15</v>
      </c>
      <c r="D239" s="10">
        <v>3854.54</v>
      </c>
      <c r="E239" s="10">
        <v>0.04</v>
      </c>
      <c r="F239" s="10">
        <v>6</v>
      </c>
      <c r="G239" s="11" t="str">
        <f t="shared" si="3"/>
        <v>November</v>
      </c>
      <c r="H239" s="12">
        <v>45626</v>
      </c>
      <c r="I239" s="12">
        <v>45627</v>
      </c>
      <c r="J239" s="10" t="s">
        <v>16</v>
      </c>
      <c r="K239" s="10" t="s">
        <v>23</v>
      </c>
      <c r="L239" s="10">
        <v>600.08000000000004</v>
      </c>
      <c r="M239" s="13" t="s">
        <v>77</v>
      </c>
    </row>
    <row r="240" spans="1:13">
      <c r="A240" s="4" t="s">
        <v>300</v>
      </c>
      <c r="B240" s="5" t="s">
        <v>27</v>
      </c>
      <c r="C240" s="5" t="s">
        <v>21</v>
      </c>
      <c r="D240" s="5">
        <v>3341.23</v>
      </c>
      <c r="E240" s="5">
        <v>0.18</v>
      </c>
      <c r="F240" s="5">
        <v>8</v>
      </c>
      <c r="G240" s="6" t="str">
        <f t="shared" si="3"/>
        <v>November</v>
      </c>
      <c r="H240" s="7">
        <v>45625</v>
      </c>
      <c r="I240" s="7">
        <v>45626</v>
      </c>
      <c r="J240" s="5" t="s">
        <v>42</v>
      </c>
      <c r="K240" s="5" t="s">
        <v>17</v>
      </c>
      <c r="L240" s="5">
        <v>427.47</v>
      </c>
      <c r="M240" s="8" t="s">
        <v>84</v>
      </c>
    </row>
    <row r="241" spans="1:13">
      <c r="A241" s="9" t="s">
        <v>301</v>
      </c>
      <c r="B241" s="10" t="s">
        <v>35</v>
      </c>
      <c r="C241" s="10" t="s">
        <v>21</v>
      </c>
      <c r="D241" s="10">
        <v>915.94</v>
      </c>
      <c r="E241" s="10">
        <v>0.25</v>
      </c>
      <c r="F241" s="10">
        <v>1</v>
      </c>
      <c r="G241" s="11" t="str">
        <f t="shared" si="3"/>
        <v>October</v>
      </c>
      <c r="H241" s="12">
        <v>45571</v>
      </c>
      <c r="I241" s="12">
        <v>45572</v>
      </c>
      <c r="J241" s="10" t="s">
        <v>42</v>
      </c>
      <c r="K241" s="10" t="s">
        <v>17</v>
      </c>
      <c r="L241" s="10">
        <v>83.32</v>
      </c>
      <c r="M241" s="13" t="s">
        <v>84</v>
      </c>
    </row>
    <row r="242" spans="1:13">
      <c r="A242" s="4" t="s">
        <v>302</v>
      </c>
      <c r="B242" s="5" t="s">
        <v>14</v>
      </c>
      <c r="C242" s="5" t="s">
        <v>52</v>
      </c>
      <c r="D242" s="5">
        <v>2246.27</v>
      </c>
      <c r="E242" s="5">
        <v>0.22</v>
      </c>
      <c r="F242" s="5">
        <v>6</v>
      </c>
      <c r="G242" s="6" t="str">
        <f t="shared" si="3"/>
        <v>January</v>
      </c>
      <c r="H242" s="7">
        <v>44956</v>
      </c>
      <c r="I242" s="7">
        <v>44963</v>
      </c>
      <c r="J242" s="5" t="s">
        <v>22</v>
      </c>
      <c r="K242" s="5" t="s">
        <v>23</v>
      </c>
      <c r="L242" s="5">
        <v>358.48</v>
      </c>
      <c r="M242" s="8" t="s">
        <v>74</v>
      </c>
    </row>
    <row r="243" spans="1:13">
      <c r="A243" s="9" t="s">
        <v>303</v>
      </c>
      <c r="B243" s="10" t="s">
        <v>20</v>
      </c>
      <c r="C243" s="10" t="s">
        <v>28</v>
      </c>
      <c r="D243" s="10">
        <v>795.76</v>
      </c>
      <c r="E243" s="10">
        <v>0.14000000000000001</v>
      </c>
      <c r="F243" s="10">
        <v>3</v>
      </c>
      <c r="G243" s="11" t="str">
        <f t="shared" si="3"/>
        <v>June</v>
      </c>
      <c r="H243" s="12">
        <v>45087</v>
      </c>
      <c r="I243" s="12">
        <v>45092</v>
      </c>
      <c r="J243" s="10" t="s">
        <v>22</v>
      </c>
      <c r="K243" s="10" t="s">
        <v>29</v>
      </c>
      <c r="L243" s="10">
        <v>209.28</v>
      </c>
      <c r="M243" s="13" t="s">
        <v>54</v>
      </c>
    </row>
    <row r="244" spans="1:13">
      <c r="A244" s="4" t="s">
        <v>304</v>
      </c>
      <c r="B244" s="5" t="s">
        <v>27</v>
      </c>
      <c r="C244" s="5" t="s">
        <v>47</v>
      </c>
      <c r="D244" s="5">
        <v>4293.51</v>
      </c>
      <c r="E244" s="5">
        <v>0.15</v>
      </c>
      <c r="F244" s="5">
        <v>8</v>
      </c>
      <c r="G244" s="6" t="str">
        <f t="shared" si="3"/>
        <v>October</v>
      </c>
      <c r="H244" s="7">
        <v>45576</v>
      </c>
      <c r="I244" s="7">
        <v>45579</v>
      </c>
      <c r="J244" s="5" t="s">
        <v>16</v>
      </c>
      <c r="K244" s="5" t="s">
        <v>29</v>
      </c>
      <c r="L244" s="5">
        <v>1090.8399999999999</v>
      </c>
      <c r="M244" s="8" t="s">
        <v>63</v>
      </c>
    </row>
    <row r="245" spans="1:13">
      <c r="A245" s="9" t="s">
        <v>305</v>
      </c>
      <c r="B245" s="10" t="s">
        <v>35</v>
      </c>
      <c r="C245" s="10" t="s">
        <v>28</v>
      </c>
      <c r="D245" s="10">
        <v>634.92999999999995</v>
      </c>
      <c r="E245" s="10">
        <v>0.32</v>
      </c>
      <c r="F245" s="10">
        <v>9</v>
      </c>
      <c r="G245" s="11" t="str">
        <f t="shared" si="3"/>
        <v>February</v>
      </c>
      <c r="H245" s="12">
        <v>45349</v>
      </c>
      <c r="I245" s="12">
        <v>45351</v>
      </c>
      <c r="J245" s="10" t="s">
        <v>22</v>
      </c>
      <c r="K245" s="10" t="s">
        <v>17</v>
      </c>
      <c r="L245" s="10">
        <v>124.78</v>
      </c>
      <c r="M245" s="13" t="s">
        <v>24</v>
      </c>
    </row>
    <row r="246" spans="1:13">
      <c r="A246" s="4" t="s">
        <v>306</v>
      </c>
      <c r="B246" s="5" t="s">
        <v>14</v>
      </c>
      <c r="C246" s="5" t="s">
        <v>28</v>
      </c>
      <c r="D246" s="5">
        <v>3305.75</v>
      </c>
      <c r="E246" s="5">
        <v>0.36</v>
      </c>
      <c r="F246" s="5">
        <v>5</v>
      </c>
      <c r="G246" s="6" t="str">
        <f t="shared" si="3"/>
        <v>December</v>
      </c>
      <c r="H246" s="7">
        <v>45273</v>
      </c>
      <c r="I246" s="7">
        <v>45278</v>
      </c>
      <c r="J246" s="5" t="s">
        <v>22</v>
      </c>
      <c r="K246" s="5" t="s">
        <v>23</v>
      </c>
      <c r="L246" s="5">
        <v>627.83000000000004</v>
      </c>
      <c r="M246" s="8" t="s">
        <v>36</v>
      </c>
    </row>
    <row r="247" spans="1:13">
      <c r="A247" s="9" t="s">
        <v>307</v>
      </c>
      <c r="B247" s="10" t="s">
        <v>20</v>
      </c>
      <c r="C247" s="10" t="s">
        <v>21</v>
      </c>
      <c r="D247" s="10">
        <v>3074.3</v>
      </c>
      <c r="E247" s="10">
        <v>0.28999999999999998</v>
      </c>
      <c r="F247" s="10">
        <v>2</v>
      </c>
      <c r="G247" s="11" t="str">
        <f t="shared" si="3"/>
        <v>July</v>
      </c>
      <c r="H247" s="12">
        <v>45504</v>
      </c>
      <c r="I247" s="12">
        <v>45508</v>
      </c>
      <c r="J247" s="10" t="s">
        <v>22</v>
      </c>
      <c r="K247" s="10" t="s">
        <v>29</v>
      </c>
      <c r="L247" s="10">
        <v>656.86</v>
      </c>
      <c r="M247" s="13" t="s">
        <v>118</v>
      </c>
    </row>
    <row r="248" spans="1:13">
      <c r="A248" s="4" t="s">
        <v>308</v>
      </c>
      <c r="B248" s="5" t="s">
        <v>27</v>
      </c>
      <c r="C248" s="5" t="s">
        <v>21</v>
      </c>
      <c r="D248" s="5">
        <v>2416.61</v>
      </c>
      <c r="E248" s="5">
        <v>0.49</v>
      </c>
      <c r="F248" s="5">
        <v>7</v>
      </c>
      <c r="G248" s="6" t="str">
        <f t="shared" si="3"/>
        <v>August</v>
      </c>
      <c r="H248" s="7">
        <v>45148</v>
      </c>
      <c r="I248" s="7">
        <v>45152</v>
      </c>
      <c r="J248" s="5" t="s">
        <v>16</v>
      </c>
      <c r="K248" s="5" t="s">
        <v>29</v>
      </c>
      <c r="L248" s="5">
        <v>710.07</v>
      </c>
      <c r="M248" s="8" t="s">
        <v>63</v>
      </c>
    </row>
    <row r="249" spans="1:13">
      <c r="A249" s="9" t="s">
        <v>309</v>
      </c>
      <c r="B249" s="10" t="s">
        <v>35</v>
      </c>
      <c r="C249" s="10" t="s">
        <v>21</v>
      </c>
      <c r="D249" s="10">
        <v>1463.35</v>
      </c>
      <c r="E249" s="10">
        <v>0.47</v>
      </c>
      <c r="F249" s="10">
        <v>6</v>
      </c>
      <c r="G249" s="11" t="str">
        <f t="shared" si="3"/>
        <v>July</v>
      </c>
      <c r="H249" s="12">
        <v>45114</v>
      </c>
      <c r="I249" s="12">
        <v>45121</v>
      </c>
      <c r="J249" s="10" t="s">
        <v>16</v>
      </c>
      <c r="K249" s="10" t="s">
        <v>17</v>
      </c>
      <c r="L249" s="10">
        <v>374.36</v>
      </c>
      <c r="M249" s="13" t="s">
        <v>59</v>
      </c>
    </row>
    <row r="250" spans="1:13">
      <c r="A250" s="4" t="s">
        <v>310</v>
      </c>
      <c r="B250" s="5" t="s">
        <v>14</v>
      </c>
      <c r="C250" s="5" t="s">
        <v>28</v>
      </c>
      <c r="D250" s="5">
        <v>2079.39</v>
      </c>
      <c r="E250" s="5">
        <v>0.05</v>
      </c>
      <c r="F250" s="5">
        <v>6</v>
      </c>
      <c r="G250" s="6" t="str">
        <f t="shared" si="3"/>
        <v>February</v>
      </c>
      <c r="H250" s="7">
        <v>45351</v>
      </c>
      <c r="I250" s="7">
        <v>45353</v>
      </c>
      <c r="J250" s="5" t="s">
        <v>16</v>
      </c>
      <c r="K250" s="5" t="s">
        <v>17</v>
      </c>
      <c r="L250" s="5">
        <v>214.85</v>
      </c>
      <c r="M250" s="8" t="s">
        <v>74</v>
      </c>
    </row>
    <row r="251" spans="1:13">
      <c r="A251" s="9" t="s">
        <v>311</v>
      </c>
      <c r="B251" s="10" t="s">
        <v>20</v>
      </c>
      <c r="C251" s="10" t="s">
        <v>47</v>
      </c>
      <c r="D251" s="10">
        <v>4051.32</v>
      </c>
      <c r="E251" s="10">
        <v>0.13</v>
      </c>
      <c r="F251" s="10">
        <v>1</v>
      </c>
      <c r="G251" s="11" t="str">
        <f t="shared" si="3"/>
        <v>July</v>
      </c>
      <c r="H251" s="12">
        <v>45475</v>
      </c>
      <c r="I251" s="12">
        <v>45482</v>
      </c>
      <c r="J251" s="10" t="s">
        <v>16</v>
      </c>
      <c r="K251" s="10" t="s">
        <v>29</v>
      </c>
      <c r="L251" s="10">
        <v>675.38</v>
      </c>
      <c r="M251" s="13" t="s">
        <v>63</v>
      </c>
    </row>
    <row r="252" spans="1:13">
      <c r="A252" s="4" t="s">
        <v>312</v>
      </c>
      <c r="B252" s="5" t="s">
        <v>27</v>
      </c>
      <c r="C252" s="5" t="s">
        <v>21</v>
      </c>
      <c r="D252" s="5">
        <v>3831.6</v>
      </c>
      <c r="E252" s="5">
        <v>0.43</v>
      </c>
      <c r="F252" s="5">
        <v>1</v>
      </c>
      <c r="G252" s="6" t="str">
        <f t="shared" si="3"/>
        <v>May</v>
      </c>
      <c r="H252" s="7">
        <v>45437</v>
      </c>
      <c r="I252" s="7">
        <v>45444</v>
      </c>
      <c r="J252" s="5" t="s">
        <v>16</v>
      </c>
      <c r="K252" s="5" t="s">
        <v>23</v>
      </c>
      <c r="L252" s="5">
        <v>906.63</v>
      </c>
      <c r="M252" s="8" t="s">
        <v>18</v>
      </c>
    </row>
    <row r="253" spans="1:13">
      <c r="A253" s="9" t="s">
        <v>313</v>
      </c>
      <c r="B253" s="10" t="s">
        <v>35</v>
      </c>
      <c r="C253" s="10" t="s">
        <v>15</v>
      </c>
      <c r="D253" s="10">
        <v>3720.16</v>
      </c>
      <c r="E253" s="10">
        <v>0.01</v>
      </c>
      <c r="F253" s="10">
        <v>6</v>
      </c>
      <c r="G253" s="11" t="str">
        <f t="shared" si="3"/>
        <v>July</v>
      </c>
      <c r="H253" s="12">
        <v>45132</v>
      </c>
      <c r="I253" s="12">
        <v>45138</v>
      </c>
      <c r="J253" s="10" t="s">
        <v>42</v>
      </c>
      <c r="K253" s="10" t="s">
        <v>23</v>
      </c>
      <c r="L253" s="10">
        <v>974.82</v>
      </c>
      <c r="M253" s="13" t="s">
        <v>118</v>
      </c>
    </row>
    <row r="254" spans="1:13">
      <c r="A254" s="4" t="s">
        <v>314</v>
      </c>
      <c r="B254" s="5" t="s">
        <v>14</v>
      </c>
      <c r="C254" s="5" t="s">
        <v>47</v>
      </c>
      <c r="D254" s="5">
        <v>3774.14</v>
      </c>
      <c r="E254" s="5">
        <v>0.3</v>
      </c>
      <c r="F254" s="5">
        <v>6</v>
      </c>
      <c r="G254" s="6" t="str">
        <f t="shared" si="3"/>
        <v>January</v>
      </c>
      <c r="H254" s="7">
        <v>45297</v>
      </c>
      <c r="I254" s="7">
        <v>45299</v>
      </c>
      <c r="J254" s="5" t="s">
        <v>22</v>
      </c>
      <c r="K254" s="5" t="s">
        <v>17</v>
      </c>
      <c r="L254" s="5">
        <v>268.47000000000003</v>
      </c>
      <c r="M254" s="8" t="s">
        <v>36</v>
      </c>
    </row>
    <row r="255" spans="1:13">
      <c r="A255" s="9" t="s">
        <v>315</v>
      </c>
      <c r="B255" s="10" t="s">
        <v>20</v>
      </c>
      <c r="C255" s="10" t="s">
        <v>15</v>
      </c>
      <c r="D255" s="10">
        <v>805.04</v>
      </c>
      <c r="E255" s="10">
        <v>0.48</v>
      </c>
      <c r="F255" s="10">
        <v>4</v>
      </c>
      <c r="G255" s="11" t="str">
        <f t="shared" si="3"/>
        <v>April</v>
      </c>
      <c r="H255" s="12">
        <v>45400</v>
      </c>
      <c r="I255" s="12">
        <v>45401</v>
      </c>
      <c r="J255" s="10" t="s">
        <v>16</v>
      </c>
      <c r="K255" s="10" t="s">
        <v>29</v>
      </c>
      <c r="L255" s="10">
        <v>179.9</v>
      </c>
      <c r="M255" s="13" t="s">
        <v>74</v>
      </c>
    </row>
    <row r="256" spans="1:13">
      <c r="A256" s="4" t="s">
        <v>316</v>
      </c>
      <c r="B256" s="5" t="s">
        <v>27</v>
      </c>
      <c r="C256" s="5" t="s">
        <v>47</v>
      </c>
      <c r="D256" s="5">
        <v>585.57000000000005</v>
      </c>
      <c r="E256" s="5">
        <v>0.34</v>
      </c>
      <c r="F256" s="5">
        <v>8</v>
      </c>
      <c r="G256" s="6" t="str">
        <f t="shared" si="3"/>
        <v>January</v>
      </c>
      <c r="H256" s="7">
        <v>45318</v>
      </c>
      <c r="I256" s="7">
        <v>45321</v>
      </c>
      <c r="J256" s="5" t="s">
        <v>16</v>
      </c>
      <c r="K256" s="5" t="s">
        <v>29</v>
      </c>
      <c r="L256" s="5">
        <v>51.66</v>
      </c>
      <c r="M256" s="8" t="s">
        <v>84</v>
      </c>
    </row>
    <row r="257" spans="1:13">
      <c r="A257" s="9" t="s">
        <v>317</v>
      </c>
      <c r="B257" s="10" t="s">
        <v>35</v>
      </c>
      <c r="C257" s="10" t="s">
        <v>21</v>
      </c>
      <c r="D257" s="10">
        <v>4321.34</v>
      </c>
      <c r="E257" s="10">
        <v>0.05</v>
      </c>
      <c r="F257" s="10">
        <v>9</v>
      </c>
      <c r="G257" s="11" t="str">
        <f t="shared" si="3"/>
        <v>April</v>
      </c>
      <c r="H257" s="12">
        <v>45405</v>
      </c>
      <c r="I257" s="12">
        <v>45406</v>
      </c>
      <c r="J257" s="10" t="s">
        <v>16</v>
      </c>
      <c r="K257" s="10" t="s">
        <v>17</v>
      </c>
      <c r="L257" s="10">
        <v>330.56</v>
      </c>
      <c r="M257" s="13" t="s">
        <v>77</v>
      </c>
    </row>
    <row r="258" spans="1:13">
      <c r="A258" s="4" t="s">
        <v>318</v>
      </c>
      <c r="B258" s="5" t="s">
        <v>14</v>
      </c>
      <c r="C258" s="5" t="s">
        <v>52</v>
      </c>
      <c r="D258" s="5">
        <v>4202.16</v>
      </c>
      <c r="E258" s="5">
        <v>0.37</v>
      </c>
      <c r="F258" s="5">
        <v>6</v>
      </c>
      <c r="G258" s="6" t="str">
        <f t="shared" ref="G258:G321" si="4">TEXT(H258,"mmmm")</f>
        <v>May</v>
      </c>
      <c r="H258" s="7">
        <v>45435</v>
      </c>
      <c r="I258" s="7">
        <v>45442</v>
      </c>
      <c r="J258" s="5" t="s">
        <v>16</v>
      </c>
      <c r="K258" s="5" t="s">
        <v>17</v>
      </c>
      <c r="L258" s="5">
        <v>1096.27</v>
      </c>
      <c r="M258" s="8" t="s">
        <v>56</v>
      </c>
    </row>
    <row r="259" spans="1:13">
      <c r="A259" s="9" t="s">
        <v>319</v>
      </c>
      <c r="B259" s="10" t="s">
        <v>20</v>
      </c>
      <c r="C259" s="10" t="s">
        <v>21</v>
      </c>
      <c r="D259" s="10">
        <v>3438.46</v>
      </c>
      <c r="E259" s="10">
        <v>0.19</v>
      </c>
      <c r="F259" s="10">
        <v>8</v>
      </c>
      <c r="G259" s="11" t="str">
        <f t="shared" si="4"/>
        <v>February</v>
      </c>
      <c r="H259" s="12">
        <v>44983</v>
      </c>
      <c r="I259" s="12">
        <v>44986</v>
      </c>
      <c r="J259" s="10" t="s">
        <v>22</v>
      </c>
      <c r="K259" s="10" t="s">
        <v>29</v>
      </c>
      <c r="L259" s="10">
        <v>848.11</v>
      </c>
      <c r="M259" s="13" t="s">
        <v>54</v>
      </c>
    </row>
    <row r="260" spans="1:13">
      <c r="A260" s="4" t="s">
        <v>320</v>
      </c>
      <c r="B260" s="5" t="s">
        <v>27</v>
      </c>
      <c r="C260" s="5" t="s">
        <v>28</v>
      </c>
      <c r="D260" s="5">
        <v>3068.94</v>
      </c>
      <c r="E260" s="5">
        <v>0.46</v>
      </c>
      <c r="F260" s="5">
        <v>8</v>
      </c>
      <c r="G260" s="6" t="str">
        <f t="shared" si="4"/>
        <v>March</v>
      </c>
      <c r="H260" s="7">
        <v>44993</v>
      </c>
      <c r="I260" s="7">
        <v>44998</v>
      </c>
      <c r="J260" s="5" t="s">
        <v>22</v>
      </c>
      <c r="K260" s="5" t="s">
        <v>23</v>
      </c>
      <c r="L260" s="5">
        <v>726.26</v>
      </c>
      <c r="M260" s="8" t="s">
        <v>24</v>
      </c>
    </row>
    <row r="261" spans="1:13">
      <c r="A261" s="9" t="s">
        <v>321</v>
      </c>
      <c r="B261" s="10" t="s">
        <v>35</v>
      </c>
      <c r="C261" s="10" t="s">
        <v>28</v>
      </c>
      <c r="D261" s="10">
        <v>1897.67</v>
      </c>
      <c r="E261" s="10">
        <v>0.14000000000000001</v>
      </c>
      <c r="F261" s="10">
        <v>2</v>
      </c>
      <c r="G261" s="11" t="str">
        <f t="shared" si="4"/>
        <v>January</v>
      </c>
      <c r="H261" s="12">
        <v>44954</v>
      </c>
      <c r="I261" s="12">
        <v>44959</v>
      </c>
      <c r="J261" s="10" t="s">
        <v>42</v>
      </c>
      <c r="K261" s="10" t="s">
        <v>17</v>
      </c>
      <c r="L261" s="10">
        <v>106.36</v>
      </c>
      <c r="M261" s="13" t="s">
        <v>56</v>
      </c>
    </row>
    <row r="262" spans="1:13">
      <c r="A262" s="4" t="s">
        <v>322</v>
      </c>
      <c r="B262" s="5" t="s">
        <v>14</v>
      </c>
      <c r="C262" s="5" t="s">
        <v>47</v>
      </c>
      <c r="D262" s="5">
        <v>1198</v>
      </c>
      <c r="E262" s="5">
        <v>0.24</v>
      </c>
      <c r="F262" s="5">
        <v>4</v>
      </c>
      <c r="G262" s="6" t="str">
        <f t="shared" si="4"/>
        <v>October</v>
      </c>
      <c r="H262" s="7">
        <v>45580</v>
      </c>
      <c r="I262" s="7">
        <v>45587</v>
      </c>
      <c r="J262" s="5" t="s">
        <v>22</v>
      </c>
      <c r="K262" s="5" t="s">
        <v>23</v>
      </c>
      <c r="L262" s="5">
        <v>136.83000000000001</v>
      </c>
      <c r="M262" s="8" t="s">
        <v>36</v>
      </c>
    </row>
    <row r="263" spans="1:13">
      <c r="A263" s="9" t="s">
        <v>323</v>
      </c>
      <c r="B263" s="10" t="s">
        <v>20</v>
      </c>
      <c r="C263" s="10" t="s">
        <v>28</v>
      </c>
      <c r="D263" s="10">
        <v>3371.52</v>
      </c>
      <c r="E263" s="10">
        <v>0.37</v>
      </c>
      <c r="F263" s="10">
        <v>1</v>
      </c>
      <c r="G263" s="11" t="str">
        <f t="shared" si="4"/>
        <v>October</v>
      </c>
      <c r="H263" s="12">
        <v>45577</v>
      </c>
      <c r="I263" s="12">
        <v>45583</v>
      </c>
      <c r="J263" s="10" t="s">
        <v>16</v>
      </c>
      <c r="K263" s="10" t="s">
        <v>23</v>
      </c>
      <c r="L263" s="10">
        <v>531.95000000000005</v>
      </c>
      <c r="M263" s="13" t="s">
        <v>25</v>
      </c>
    </row>
    <row r="264" spans="1:13">
      <c r="A264" s="4" t="s">
        <v>324</v>
      </c>
      <c r="B264" s="5" t="s">
        <v>27</v>
      </c>
      <c r="C264" s="5" t="s">
        <v>21</v>
      </c>
      <c r="D264" s="5">
        <v>4573.87</v>
      </c>
      <c r="E264" s="5">
        <v>0.13</v>
      </c>
      <c r="F264" s="5">
        <v>1</v>
      </c>
      <c r="G264" s="6" t="str">
        <f t="shared" si="4"/>
        <v>August</v>
      </c>
      <c r="H264" s="7">
        <v>45158</v>
      </c>
      <c r="I264" s="7">
        <v>45161</v>
      </c>
      <c r="J264" s="5" t="s">
        <v>16</v>
      </c>
      <c r="K264" s="5" t="s">
        <v>29</v>
      </c>
      <c r="L264" s="5">
        <v>1235</v>
      </c>
      <c r="M264" s="8" t="s">
        <v>84</v>
      </c>
    </row>
    <row r="265" spans="1:13">
      <c r="A265" s="9" t="s">
        <v>325</v>
      </c>
      <c r="B265" s="10" t="s">
        <v>35</v>
      </c>
      <c r="C265" s="10" t="s">
        <v>15</v>
      </c>
      <c r="D265" s="10">
        <v>2241.2800000000002</v>
      </c>
      <c r="E265" s="10">
        <v>0.09</v>
      </c>
      <c r="F265" s="10">
        <v>6</v>
      </c>
      <c r="G265" s="11" t="str">
        <f t="shared" si="4"/>
        <v>April</v>
      </c>
      <c r="H265" s="12">
        <v>45033</v>
      </c>
      <c r="I265" s="12">
        <v>45038</v>
      </c>
      <c r="J265" s="10" t="s">
        <v>16</v>
      </c>
      <c r="K265" s="10" t="s">
        <v>23</v>
      </c>
      <c r="L265" s="10">
        <v>405.21</v>
      </c>
      <c r="M265" s="13" t="s">
        <v>54</v>
      </c>
    </row>
    <row r="266" spans="1:13">
      <c r="A266" s="4" t="s">
        <v>326</v>
      </c>
      <c r="B266" s="5" t="s">
        <v>14</v>
      </c>
      <c r="C266" s="5" t="s">
        <v>21</v>
      </c>
      <c r="D266" s="5">
        <v>1585.74</v>
      </c>
      <c r="E266" s="5">
        <v>0</v>
      </c>
      <c r="F266" s="5">
        <v>7</v>
      </c>
      <c r="G266" s="6" t="str">
        <f t="shared" si="4"/>
        <v>May</v>
      </c>
      <c r="H266" s="7">
        <v>45063</v>
      </c>
      <c r="I266" s="7">
        <v>45066</v>
      </c>
      <c r="J266" s="5" t="s">
        <v>16</v>
      </c>
      <c r="K266" s="5" t="s">
        <v>23</v>
      </c>
      <c r="L266" s="5">
        <v>276.95999999999998</v>
      </c>
      <c r="M266" s="8" t="s">
        <v>118</v>
      </c>
    </row>
    <row r="267" spans="1:13">
      <c r="A267" s="9" t="s">
        <v>327</v>
      </c>
      <c r="B267" s="10" t="s">
        <v>20</v>
      </c>
      <c r="C267" s="10" t="s">
        <v>47</v>
      </c>
      <c r="D267" s="10">
        <v>1426.63</v>
      </c>
      <c r="E267" s="10">
        <v>0.24</v>
      </c>
      <c r="F267" s="10">
        <v>5</v>
      </c>
      <c r="G267" s="11" t="str">
        <f t="shared" si="4"/>
        <v>January</v>
      </c>
      <c r="H267" s="12">
        <v>45304</v>
      </c>
      <c r="I267" s="12">
        <v>45311</v>
      </c>
      <c r="J267" s="10" t="s">
        <v>22</v>
      </c>
      <c r="K267" s="10" t="s">
        <v>29</v>
      </c>
      <c r="L267" s="10">
        <v>72.98</v>
      </c>
      <c r="M267" s="13" t="s">
        <v>56</v>
      </c>
    </row>
    <row r="268" spans="1:13">
      <c r="A268" s="4" t="s">
        <v>328</v>
      </c>
      <c r="B268" s="5" t="s">
        <v>27</v>
      </c>
      <c r="C268" s="5" t="s">
        <v>28</v>
      </c>
      <c r="D268" s="5">
        <v>216.16</v>
      </c>
      <c r="E268" s="5">
        <v>0.46</v>
      </c>
      <c r="F268" s="5">
        <v>8</v>
      </c>
      <c r="G268" s="6" t="str">
        <f t="shared" si="4"/>
        <v>November</v>
      </c>
      <c r="H268" s="7">
        <v>45602</v>
      </c>
      <c r="I268" s="7">
        <v>45608</v>
      </c>
      <c r="J268" s="5" t="s">
        <v>22</v>
      </c>
      <c r="K268" s="5" t="s">
        <v>17</v>
      </c>
      <c r="L268" s="5">
        <v>55.65</v>
      </c>
      <c r="M268" s="8" t="s">
        <v>56</v>
      </c>
    </row>
    <row r="269" spans="1:13">
      <c r="A269" s="9" t="s">
        <v>329</v>
      </c>
      <c r="B269" s="10" t="s">
        <v>35</v>
      </c>
      <c r="C269" s="10" t="s">
        <v>15</v>
      </c>
      <c r="D269" s="10">
        <v>2649.55</v>
      </c>
      <c r="E269" s="10">
        <v>0.14000000000000001</v>
      </c>
      <c r="F269" s="10">
        <v>9</v>
      </c>
      <c r="G269" s="11" t="str">
        <f t="shared" si="4"/>
        <v>October</v>
      </c>
      <c r="H269" s="12">
        <v>45585</v>
      </c>
      <c r="I269" s="12">
        <v>45591</v>
      </c>
      <c r="J269" s="10" t="s">
        <v>42</v>
      </c>
      <c r="K269" s="10" t="s">
        <v>23</v>
      </c>
      <c r="L269" s="10">
        <v>520.04</v>
      </c>
      <c r="M269" s="13" t="s">
        <v>56</v>
      </c>
    </row>
    <row r="270" spans="1:13">
      <c r="A270" s="4" t="s">
        <v>330</v>
      </c>
      <c r="B270" s="5" t="s">
        <v>14</v>
      </c>
      <c r="C270" s="5" t="s">
        <v>52</v>
      </c>
      <c r="D270" s="5">
        <v>4942.3599999999997</v>
      </c>
      <c r="E270" s="5">
        <v>0.02</v>
      </c>
      <c r="F270" s="5">
        <v>4</v>
      </c>
      <c r="G270" s="6" t="str">
        <f t="shared" si="4"/>
        <v>January</v>
      </c>
      <c r="H270" s="7">
        <v>45317</v>
      </c>
      <c r="I270" s="7">
        <v>45323</v>
      </c>
      <c r="J270" s="5" t="s">
        <v>22</v>
      </c>
      <c r="K270" s="5" t="s">
        <v>17</v>
      </c>
      <c r="L270" s="5">
        <v>705.97</v>
      </c>
      <c r="M270" s="8" t="s">
        <v>70</v>
      </c>
    </row>
    <row r="271" spans="1:13">
      <c r="A271" s="9" t="s">
        <v>331</v>
      </c>
      <c r="B271" s="10" t="s">
        <v>20</v>
      </c>
      <c r="C271" s="10" t="s">
        <v>15</v>
      </c>
      <c r="D271" s="10">
        <v>4094.66</v>
      </c>
      <c r="E271" s="10">
        <v>0.31</v>
      </c>
      <c r="F271" s="10">
        <v>1</v>
      </c>
      <c r="G271" s="11" t="str">
        <f t="shared" si="4"/>
        <v>November</v>
      </c>
      <c r="H271" s="12">
        <v>45617</v>
      </c>
      <c r="I271" s="12">
        <v>45622</v>
      </c>
      <c r="J271" s="10" t="s">
        <v>16</v>
      </c>
      <c r="K271" s="10" t="s">
        <v>29</v>
      </c>
      <c r="L271" s="10">
        <v>369.04</v>
      </c>
      <c r="M271" s="13" t="s">
        <v>25</v>
      </c>
    </row>
    <row r="272" spans="1:13">
      <c r="A272" s="4" t="s">
        <v>332</v>
      </c>
      <c r="B272" s="5" t="s">
        <v>27</v>
      </c>
      <c r="C272" s="5" t="s">
        <v>15</v>
      </c>
      <c r="D272" s="5">
        <v>4497.63</v>
      </c>
      <c r="E272" s="5">
        <v>0.03</v>
      </c>
      <c r="F272" s="5">
        <v>6</v>
      </c>
      <c r="G272" s="6" t="str">
        <f t="shared" si="4"/>
        <v>August</v>
      </c>
      <c r="H272" s="7">
        <v>45525</v>
      </c>
      <c r="I272" s="7">
        <v>45531</v>
      </c>
      <c r="J272" s="5" t="s">
        <v>16</v>
      </c>
      <c r="K272" s="5" t="s">
        <v>29</v>
      </c>
      <c r="L272" s="5">
        <v>696.38</v>
      </c>
      <c r="M272" s="8" t="s">
        <v>36</v>
      </c>
    </row>
    <row r="273" spans="1:13">
      <c r="A273" s="9" t="s">
        <v>333</v>
      </c>
      <c r="B273" s="10" t="s">
        <v>35</v>
      </c>
      <c r="C273" s="10" t="s">
        <v>21</v>
      </c>
      <c r="D273" s="10">
        <v>3143.7</v>
      </c>
      <c r="E273" s="10">
        <v>0.25</v>
      </c>
      <c r="F273" s="10">
        <v>1</v>
      </c>
      <c r="G273" s="11" t="str">
        <f t="shared" si="4"/>
        <v>March</v>
      </c>
      <c r="H273" s="12">
        <v>45002</v>
      </c>
      <c r="I273" s="12">
        <v>45006</v>
      </c>
      <c r="J273" s="10" t="s">
        <v>22</v>
      </c>
      <c r="K273" s="10" t="s">
        <v>29</v>
      </c>
      <c r="L273" s="10">
        <v>344.8</v>
      </c>
      <c r="M273" s="13" t="s">
        <v>36</v>
      </c>
    </row>
    <row r="274" spans="1:13">
      <c r="A274" s="4" t="s">
        <v>334</v>
      </c>
      <c r="B274" s="5" t="s">
        <v>14</v>
      </c>
      <c r="C274" s="5" t="s">
        <v>52</v>
      </c>
      <c r="D274" s="5">
        <v>2459.09</v>
      </c>
      <c r="E274" s="5">
        <v>0.19</v>
      </c>
      <c r="F274" s="5">
        <v>2</v>
      </c>
      <c r="G274" s="6" t="str">
        <f t="shared" si="4"/>
        <v>March</v>
      </c>
      <c r="H274" s="7">
        <v>45381</v>
      </c>
      <c r="I274" s="7">
        <v>45388</v>
      </c>
      <c r="J274" s="5" t="s">
        <v>42</v>
      </c>
      <c r="K274" s="5" t="s">
        <v>29</v>
      </c>
      <c r="L274" s="5">
        <v>399.72</v>
      </c>
      <c r="M274" s="8" t="s">
        <v>84</v>
      </c>
    </row>
    <row r="275" spans="1:13">
      <c r="A275" s="9" t="s">
        <v>335</v>
      </c>
      <c r="B275" s="10" t="s">
        <v>20</v>
      </c>
      <c r="C275" s="10" t="s">
        <v>47</v>
      </c>
      <c r="D275" s="10">
        <v>4953.24</v>
      </c>
      <c r="E275" s="10">
        <v>0.24</v>
      </c>
      <c r="F275" s="10">
        <v>4</v>
      </c>
      <c r="G275" s="11" t="str">
        <f t="shared" si="4"/>
        <v>December</v>
      </c>
      <c r="H275" s="12">
        <v>45271</v>
      </c>
      <c r="I275" s="12">
        <v>45273</v>
      </c>
      <c r="J275" s="10" t="s">
        <v>42</v>
      </c>
      <c r="K275" s="10" t="s">
        <v>29</v>
      </c>
      <c r="L275" s="10">
        <v>627.20000000000005</v>
      </c>
      <c r="M275" s="13" t="s">
        <v>118</v>
      </c>
    </row>
    <row r="276" spans="1:13">
      <c r="A276" s="4" t="s">
        <v>336</v>
      </c>
      <c r="B276" s="5" t="s">
        <v>27</v>
      </c>
      <c r="C276" s="5" t="s">
        <v>47</v>
      </c>
      <c r="D276" s="5">
        <v>2291.09</v>
      </c>
      <c r="E276" s="5">
        <v>0.08</v>
      </c>
      <c r="F276" s="5">
        <v>4</v>
      </c>
      <c r="G276" s="6" t="str">
        <f t="shared" si="4"/>
        <v>August</v>
      </c>
      <c r="H276" s="7">
        <v>45516</v>
      </c>
      <c r="I276" s="7">
        <v>45521</v>
      </c>
      <c r="J276" s="5" t="s">
        <v>22</v>
      </c>
      <c r="K276" s="5" t="s">
        <v>17</v>
      </c>
      <c r="L276" s="5">
        <v>139.74</v>
      </c>
      <c r="M276" s="8" t="s">
        <v>84</v>
      </c>
    </row>
    <row r="277" spans="1:13">
      <c r="A277" s="9" t="s">
        <v>337</v>
      </c>
      <c r="B277" s="10" t="s">
        <v>35</v>
      </c>
      <c r="C277" s="10" t="s">
        <v>15</v>
      </c>
      <c r="D277" s="10">
        <v>4592.47</v>
      </c>
      <c r="E277" s="10">
        <v>0.05</v>
      </c>
      <c r="F277" s="10">
        <v>6</v>
      </c>
      <c r="G277" s="11" t="str">
        <f t="shared" si="4"/>
        <v>July</v>
      </c>
      <c r="H277" s="12">
        <v>45496</v>
      </c>
      <c r="I277" s="12">
        <v>45501</v>
      </c>
      <c r="J277" s="10" t="s">
        <v>22</v>
      </c>
      <c r="K277" s="10" t="s">
        <v>17</v>
      </c>
      <c r="L277" s="10">
        <v>1369.07</v>
      </c>
      <c r="M277" s="13" t="s">
        <v>118</v>
      </c>
    </row>
    <row r="278" spans="1:13">
      <c r="A278" s="4" t="s">
        <v>338</v>
      </c>
      <c r="B278" s="5" t="s">
        <v>14</v>
      </c>
      <c r="C278" s="5" t="s">
        <v>15</v>
      </c>
      <c r="D278" s="5">
        <v>3833.04</v>
      </c>
      <c r="E278" s="5">
        <v>0.37</v>
      </c>
      <c r="F278" s="5">
        <v>8</v>
      </c>
      <c r="G278" s="6" t="str">
        <f t="shared" si="4"/>
        <v>December</v>
      </c>
      <c r="H278" s="7">
        <v>45641</v>
      </c>
      <c r="I278" s="7">
        <v>45645</v>
      </c>
      <c r="J278" s="5" t="s">
        <v>22</v>
      </c>
      <c r="K278" s="5" t="s">
        <v>29</v>
      </c>
      <c r="L278" s="5">
        <v>620.79</v>
      </c>
      <c r="M278" s="8" t="s">
        <v>82</v>
      </c>
    </row>
    <row r="279" spans="1:13">
      <c r="A279" s="9" t="s">
        <v>339</v>
      </c>
      <c r="B279" s="10" t="s">
        <v>20</v>
      </c>
      <c r="C279" s="10" t="s">
        <v>28</v>
      </c>
      <c r="D279" s="10">
        <v>1721.79</v>
      </c>
      <c r="E279" s="10">
        <v>0.12</v>
      </c>
      <c r="F279" s="10">
        <v>3</v>
      </c>
      <c r="G279" s="11" t="str">
        <f t="shared" si="4"/>
        <v>April</v>
      </c>
      <c r="H279" s="12">
        <v>45385</v>
      </c>
      <c r="I279" s="12">
        <v>45386</v>
      </c>
      <c r="J279" s="10" t="s">
        <v>16</v>
      </c>
      <c r="K279" s="10" t="s">
        <v>23</v>
      </c>
      <c r="L279" s="10">
        <v>436.28</v>
      </c>
      <c r="M279" s="13" t="s">
        <v>24</v>
      </c>
    </row>
    <row r="280" spans="1:13">
      <c r="A280" s="4" t="s">
        <v>340</v>
      </c>
      <c r="B280" s="5" t="s">
        <v>27</v>
      </c>
      <c r="C280" s="5" t="s">
        <v>52</v>
      </c>
      <c r="D280" s="5">
        <v>2565</v>
      </c>
      <c r="E280" s="5">
        <v>0.4</v>
      </c>
      <c r="F280" s="5">
        <v>6</v>
      </c>
      <c r="G280" s="6" t="str">
        <f t="shared" si="4"/>
        <v>December</v>
      </c>
      <c r="H280" s="7">
        <v>45289</v>
      </c>
      <c r="I280" s="7">
        <v>45293</v>
      </c>
      <c r="J280" s="5" t="s">
        <v>22</v>
      </c>
      <c r="K280" s="5" t="s">
        <v>29</v>
      </c>
      <c r="L280" s="5">
        <v>202.72</v>
      </c>
      <c r="M280" s="8" t="s">
        <v>74</v>
      </c>
    </row>
    <row r="281" spans="1:13">
      <c r="A281" s="9" t="s">
        <v>341</v>
      </c>
      <c r="B281" s="10" t="s">
        <v>35</v>
      </c>
      <c r="C281" s="10" t="s">
        <v>15</v>
      </c>
      <c r="D281" s="10">
        <v>1983.21</v>
      </c>
      <c r="E281" s="10">
        <v>0.38</v>
      </c>
      <c r="F281" s="10">
        <v>3</v>
      </c>
      <c r="G281" s="11" t="str">
        <f t="shared" si="4"/>
        <v>July</v>
      </c>
      <c r="H281" s="12">
        <v>45500</v>
      </c>
      <c r="I281" s="12">
        <v>45505</v>
      </c>
      <c r="J281" s="10" t="s">
        <v>22</v>
      </c>
      <c r="K281" s="10" t="s">
        <v>29</v>
      </c>
      <c r="L281" s="10">
        <v>400.98</v>
      </c>
      <c r="M281" s="13" t="s">
        <v>63</v>
      </c>
    </row>
    <row r="282" spans="1:13">
      <c r="A282" s="4" t="s">
        <v>342</v>
      </c>
      <c r="B282" s="5" t="s">
        <v>14</v>
      </c>
      <c r="C282" s="5" t="s">
        <v>28</v>
      </c>
      <c r="D282" s="5">
        <v>767.49</v>
      </c>
      <c r="E282" s="5">
        <v>0.1</v>
      </c>
      <c r="F282" s="5">
        <v>2</v>
      </c>
      <c r="G282" s="6" t="str">
        <f t="shared" si="4"/>
        <v>May</v>
      </c>
      <c r="H282" s="7">
        <v>45069</v>
      </c>
      <c r="I282" s="7">
        <v>45073</v>
      </c>
      <c r="J282" s="5" t="s">
        <v>42</v>
      </c>
      <c r="K282" s="5" t="s">
        <v>23</v>
      </c>
      <c r="L282" s="5">
        <v>139.09</v>
      </c>
      <c r="M282" s="8" t="s">
        <v>77</v>
      </c>
    </row>
    <row r="283" spans="1:13">
      <c r="A283" s="9" t="s">
        <v>343</v>
      </c>
      <c r="B283" s="10" t="s">
        <v>20</v>
      </c>
      <c r="C283" s="10" t="s">
        <v>52</v>
      </c>
      <c r="D283" s="10">
        <v>1848.16</v>
      </c>
      <c r="E283" s="10">
        <v>0.45</v>
      </c>
      <c r="F283" s="10">
        <v>4</v>
      </c>
      <c r="G283" s="11" t="str">
        <f t="shared" si="4"/>
        <v>August</v>
      </c>
      <c r="H283" s="12">
        <v>45505</v>
      </c>
      <c r="I283" s="12">
        <v>45509</v>
      </c>
      <c r="J283" s="10" t="s">
        <v>42</v>
      </c>
      <c r="K283" s="10" t="s">
        <v>23</v>
      </c>
      <c r="L283" s="10">
        <v>533.01</v>
      </c>
      <c r="M283" s="13" t="s">
        <v>36</v>
      </c>
    </row>
    <row r="284" spans="1:13">
      <c r="A284" s="4" t="s">
        <v>344</v>
      </c>
      <c r="B284" s="5" t="s">
        <v>27</v>
      </c>
      <c r="C284" s="5" t="s">
        <v>47</v>
      </c>
      <c r="D284" s="5">
        <v>4455.97</v>
      </c>
      <c r="E284" s="5">
        <v>0.08</v>
      </c>
      <c r="F284" s="5">
        <v>4</v>
      </c>
      <c r="G284" s="6" t="str">
        <f t="shared" si="4"/>
        <v>September</v>
      </c>
      <c r="H284" s="7">
        <v>45564</v>
      </c>
      <c r="I284" s="7">
        <v>45570</v>
      </c>
      <c r="J284" s="5" t="s">
        <v>16</v>
      </c>
      <c r="K284" s="5" t="s">
        <v>29</v>
      </c>
      <c r="L284" s="5">
        <v>1118.01</v>
      </c>
      <c r="M284" s="8" t="s">
        <v>30</v>
      </c>
    </row>
    <row r="285" spans="1:13">
      <c r="A285" s="9" t="s">
        <v>345</v>
      </c>
      <c r="B285" s="10" t="s">
        <v>35</v>
      </c>
      <c r="C285" s="10" t="s">
        <v>28</v>
      </c>
      <c r="D285" s="10">
        <v>3787.91</v>
      </c>
      <c r="E285" s="10">
        <v>0.4</v>
      </c>
      <c r="F285" s="10">
        <v>2</v>
      </c>
      <c r="G285" s="11" t="str">
        <f t="shared" si="4"/>
        <v>May</v>
      </c>
      <c r="H285" s="12">
        <v>45071</v>
      </c>
      <c r="I285" s="12">
        <v>45075</v>
      </c>
      <c r="J285" s="10" t="s">
        <v>42</v>
      </c>
      <c r="K285" s="10" t="s">
        <v>29</v>
      </c>
      <c r="L285" s="10">
        <v>580.76</v>
      </c>
      <c r="M285" s="13" t="s">
        <v>24</v>
      </c>
    </row>
    <row r="286" spans="1:13">
      <c r="A286" s="4" t="s">
        <v>346</v>
      </c>
      <c r="B286" s="5" t="s">
        <v>14</v>
      </c>
      <c r="C286" s="5" t="s">
        <v>52</v>
      </c>
      <c r="D286" s="5">
        <v>1460.15</v>
      </c>
      <c r="E286" s="5">
        <v>0.21</v>
      </c>
      <c r="F286" s="5">
        <v>3</v>
      </c>
      <c r="G286" s="6" t="str">
        <f t="shared" si="4"/>
        <v>January</v>
      </c>
      <c r="H286" s="7">
        <v>45295</v>
      </c>
      <c r="I286" s="7">
        <v>45302</v>
      </c>
      <c r="J286" s="5" t="s">
        <v>42</v>
      </c>
      <c r="K286" s="5" t="s">
        <v>23</v>
      </c>
      <c r="L286" s="5">
        <v>362.96</v>
      </c>
      <c r="M286" s="8" t="s">
        <v>24</v>
      </c>
    </row>
    <row r="287" spans="1:13">
      <c r="A287" s="9" t="s">
        <v>347</v>
      </c>
      <c r="B287" s="10" t="s">
        <v>20</v>
      </c>
      <c r="C287" s="10" t="s">
        <v>28</v>
      </c>
      <c r="D287" s="10">
        <v>1902.78</v>
      </c>
      <c r="E287" s="10">
        <v>0.09</v>
      </c>
      <c r="F287" s="10">
        <v>9</v>
      </c>
      <c r="G287" s="11" t="str">
        <f t="shared" si="4"/>
        <v>March</v>
      </c>
      <c r="H287" s="12">
        <v>45354</v>
      </c>
      <c r="I287" s="12">
        <v>45357</v>
      </c>
      <c r="J287" s="10" t="s">
        <v>22</v>
      </c>
      <c r="K287" s="10" t="s">
        <v>23</v>
      </c>
      <c r="L287" s="10">
        <v>289.24</v>
      </c>
      <c r="M287" s="13" t="s">
        <v>24</v>
      </c>
    </row>
    <row r="288" spans="1:13">
      <c r="A288" s="4" t="s">
        <v>348</v>
      </c>
      <c r="B288" s="5" t="s">
        <v>27</v>
      </c>
      <c r="C288" s="5" t="s">
        <v>15</v>
      </c>
      <c r="D288" s="5">
        <v>3120.53</v>
      </c>
      <c r="E288" s="5">
        <v>0.47</v>
      </c>
      <c r="F288" s="5">
        <v>9</v>
      </c>
      <c r="G288" s="6" t="str">
        <f t="shared" si="4"/>
        <v>December</v>
      </c>
      <c r="H288" s="7">
        <v>45641</v>
      </c>
      <c r="I288" s="7">
        <v>45645</v>
      </c>
      <c r="J288" s="5" t="s">
        <v>42</v>
      </c>
      <c r="K288" s="5" t="s">
        <v>29</v>
      </c>
      <c r="L288" s="5">
        <v>749.57</v>
      </c>
      <c r="M288" s="8" t="s">
        <v>18</v>
      </c>
    </row>
    <row r="289" spans="1:13">
      <c r="A289" s="9" t="s">
        <v>349</v>
      </c>
      <c r="B289" s="10" t="s">
        <v>35</v>
      </c>
      <c r="C289" s="10" t="s">
        <v>21</v>
      </c>
      <c r="D289" s="10">
        <v>2139.09</v>
      </c>
      <c r="E289" s="10">
        <v>0.48</v>
      </c>
      <c r="F289" s="10">
        <v>7</v>
      </c>
      <c r="G289" s="11" t="str">
        <f t="shared" si="4"/>
        <v>September</v>
      </c>
      <c r="H289" s="12">
        <v>45179</v>
      </c>
      <c r="I289" s="12">
        <v>45183</v>
      </c>
      <c r="J289" s="10" t="s">
        <v>42</v>
      </c>
      <c r="K289" s="10" t="s">
        <v>29</v>
      </c>
      <c r="L289" s="10">
        <v>262.82</v>
      </c>
      <c r="M289" s="13" t="s">
        <v>87</v>
      </c>
    </row>
    <row r="290" spans="1:13">
      <c r="A290" s="4" t="s">
        <v>350</v>
      </c>
      <c r="B290" s="5" t="s">
        <v>14</v>
      </c>
      <c r="C290" s="5" t="s">
        <v>47</v>
      </c>
      <c r="D290" s="5">
        <v>2564.92</v>
      </c>
      <c r="E290" s="5">
        <v>0.26</v>
      </c>
      <c r="F290" s="5">
        <v>2</v>
      </c>
      <c r="G290" s="6" t="str">
        <f t="shared" si="4"/>
        <v>September</v>
      </c>
      <c r="H290" s="7">
        <v>45548</v>
      </c>
      <c r="I290" s="7">
        <v>45555</v>
      </c>
      <c r="J290" s="5" t="s">
        <v>42</v>
      </c>
      <c r="K290" s="5" t="s">
        <v>23</v>
      </c>
      <c r="L290" s="5">
        <v>367.39</v>
      </c>
      <c r="M290" s="8" t="s">
        <v>77</v>
      </c>
    </row>
    <row r="291" spans="1:13">
      <c r="A291" s="9" t="s">
        <v>351</v>
      </c>
      <c r="B291" s="10" t="s">
        <v>20</v>
      </c>
      <c r="C291" s="10" t="s">
        <v>15</v>
      </c>
      <c r="D291" s="10">
        <v>3521.03</v>
      </c>
      <c r="E291" s="10">
        <v>0.23</v>
      </c>
      <c r="F291" s="10">
        <v>5</v>
      </c>
      <c r="G291" s="11" t="str">
        <f t="shared" si="4"/>
        <v>May</v>
      </c>
      <c r="H291" s="12">
        <v>45074</v>
      </c>
      <c r="I291" s="12">
        <v>45081</v>
      </c>
      <c r="J291" s="10" t="s">
        <v>42</v>
      </c>
      <c r="K291" s="10" t="s">
        <v>29</v>
      </c>
      <c r="L291" s="10">
        <v>709.19</v>
      </c>
      <c r="M291" s="13" t="s">
        <v>56</v>
      </c>
    </row>
    <row r="292" spans="1:13">
      <c r="A292" s="4" t="s">
        <v>352</v>
      </c>
      <c r="B292" s="5" t="s">
        <v>27</v>
      </c>
      <c r="C292" s="5" t="s">
        <v>15</v>
      </c>
      <c r="D292" s="5">
        <v>2389.5300000000002</v>
      </c>
      <c r="E292" s="5">
        <v>0.45</v>
      </c>
      <c r="F292" s="5">
        <v>8</v>
      </c>
      <c r="G292" s="6" t="str">
        <f t="shared" si="4"/>
        <v>May</v>
      </c>
      <c r="H292" s="7">
        <v>45053</v>
      </c>
      <c r="I292" s="7">
        <v>45058</v>
      </c>
      <c r="J292" s="5" t="s">
        <v>42</v>
      </c>
      <c r="K292" s="5" t="s">
        <v>17</v>
      </c>
      <c r="L292" s="5">
        <v>442.59</v>
      </c>
      <c r="M292" s="8" t="s">
        <v>25</v>
      </c>
    </row>
    <row r="293" spans="1:13">
      <c r="A293" s="9" t="s">
        <v>353</v>
      </c>
      <c r="B293" s="10" t="s">
        <v>35</v>
      </c>
      <c r="C293" s="10" t="s">
        <v>52</v>
      </c>
      <c r="D293" s="10">
        <v>1035.75</v>
      </c>
      <c r="E293" s="10">
        <v>0.3</v>
      </c>
      <c r="F293" s="10">
        <v>1</v>
      </c>
      <c r="G293" s="11" t="str">
        <f t="shared" si="4"/>
        <v>December</v>
      </c>
      <c r="H293" s="12">
        <v>45278</v>
      </c>
      <c r="I293" s="12">
        <v>45281</v>
      </c>
      <c r="J293" s="10" t="s">
        <v>42</v>
      </c>
      <c r="K293" s="10" t="s">
        <v>29</v>
      </c>
      <c r="L293" s="10">
        <v>154.19</v>
      </c>
      <c r="M293" s="13" t="s">
        <v>37</v>
      </c>
    </row>
    <row r="294" spans="1:13">
      <c r="A294" s="4" t="s">
        <v>354</v>
      </c>
      <c r="B294" s="5" t="s">
        <v>14</v>
      </c>
      <c r="C294" s="5" t="s">
        <v>28</v>
      </c>
      <c r="D294" s="5">
        <v>2650.81</v>
      </c>
      <c r="E294" s="5">
        <v>0.13</v>
      </c>
      <c r="F294" s="5">
        <v>1</v>
      </c>
      <c r="G294" s="6" t="str">
        <f t="shared" si="4"/>
        <v>May</v>
      </c>
      <c r="H294" s="7">
        <v>45047</v>
      </c>
      <c r="I294" s="7">
        <v>45048</v>
      </c>
      <c r="J294" s="5" t="s">
        <v>42</v>
      </c>
      <c r="K294" s="5" t="s">
        <v>23</v>
      </c>
      <c r="L294" s="5">
        <v>753.91</v>
      </c>
      <c r="M294" s="8" t="s">
        <v>74</v>
      </c>
    </row>
    <row r="295" spans="1:13">
      <c r="A295" s="9" t="s">
        <v>355</v>
      </c>
      <c r="B295" s="10" t="s">
        <v>20</v>
      </c>
      <c r="C295" s="10" t="s">
        <v>47</v>
      </c>
      <c r="D295" s="10">
        <v>1844.98</v>
      </c>
      <c r="E295" s="10">
        <v>0.21</v>
      </c>
      <c r="F295" s="10">
        <v>6</v>
      </c>
      <c r="G295" s="11" t="str">
        <f t="shared" si="4"/>
        <v>January</v>
      </c>
      <c r="H295" s="12">
        <v>45300</v>
      </c>
      <c r="I295" s="12">
        <v>45303</v>
      </c>
      <c r="J295" s="10" t="s">
        <v>42</v>
      </c>
      <c r="K295" s="10" t="s">
        <v>17</v>
      </c>
      <c r="L295" s="10">
        <v>324.74</v>
      </c>
      <c r="M295" s="13" t="s">
        <v>77</v>
      </c>
    </row>
    <row r="296" spans="1:13">
      <c r="A296" s="4" t="s">
        <v>356</v>
      </c>
      <c r="B296" s="5" t="s">
        <v>27</v>
      </c>
      <c r="C296" s="5" t="s">
        <v>15</v>
      </c>
      <c r="D296" s="5">
        <v>1524.6</v>
      </c>
      <c r="E296" s="5">
        <v>0.42</v>
      </c>
      <c r="F296" s="5">
        <v>7</v>
      </c>
      <c r="G296" s="6" t="str">
        <f t="shared" si="4"/>
        <v>December</v>
      </c>
      <c r="H296" s="7">
        <v>45267</v>
      </c>
      <c r="I296" s="7">
        <v>45270</v>
      </c>
      <c r="J296" s="5" t="s">
        <v>16</v>
      </c>
      <c r="K296" s="5" t="s">
        <v>29</v>
      </c>
      <c r="L296" s="5">
        <v>351.13</v>
      </c>
      <c r="M296" s="8" t="s">
        <v>56</v>
      </c>
    </row>
    <row r="297" spans="1:13">
      <c r="A297" s="9" t="s">
        <v>357</v>
      </c>
      <c r="B297" s="10" t="s">
        <v>35</v>
      </c>
      <c r="C297" s="10" t="s">
        <v>52</v>
      </c>
      <c r="D297" s="10">
        <v>1707.73</v>
      </c>
      <c r="E297" s="10">
        <v>0.43</v>
      </c>
      <c r="F297" s="10">
        <v>7</v>
      </c>
      <c r="G297" s="11" t="str">
        <f t="shared" si="4"/>
        <v>January</v>
      </c>
      <c r="H297" s="12">
        <v>44957</v>
      </c>
      <c r="I297" s="12">
        <v>44964</v>
      </c>
      <c r="J297" s="10" t="s">
        <v>22</v>
      </c>
      <c r="K297" s="10" t="s">
        <v>23</v>
      </c>
      <c r="L297" s="10">
        <v>263.39999999999998</v>
      </c>
      <c r="M297" s="13" t="s">
        <v>59</v>
      </c>
    </row>
    <row r="298" spans="1:13">
      <c r="A298" s="4" t="s">
        <v>358</v>
      </c>
      <c r="B298" s="5" t="s">
        <v>14</v>
      </c>
      <c r="C298" s="5" t="s">
        <v>47</v>
      </c>
      <c r="D298" s="5">
        <v>2251.11</v>
      </c>
      <c r="E298" s="5">
        <v>0.47</v>
      </c>
      <c r="F298" s="5">
        <v>3</v>
      </c>
      <c r="G298" s="6" t="str">
        <f t="shared" si="4"/>
        <v>December</v>
      </c>
      <c r="H298" s="7">
        <v>45271</v>
      </c>
      <c r="I298" s="7">
        <v>45278</v>
      </c>
      <c r="J298" s="5" t="s">
        <v>42</v>
      </c>
      <c r="K298" s="5" t="s">
        <v>17</v>
      </c>
      <c r="L298" s="5">
        <v>519.6</v>
      </c>
      <c r="M298" s="8" t="s">
        <v>87</v>
      </c>
    </row>
    <row r="299" spans="1:13">
      <c r="A299" s="9" t="s">
        <v>359</v>
      </c>
      <c r="B299" s="10" t="s">
        <v>20</v>
      </c>
      <c r="C299" s="10" t="s">
        <v>28</v>
      </c>
      <c r="D299" s="10">
        <v>4444.3999999999996</v>
      </c>
      <c r="E299" s="10">
        <v>0.14000000000000001</v>
      </c>
      <c r="F299" s="10">
        <v>4</v>
      </c>
      <c r="G299" s="11" t="str">
        <f t="shared" si="4"/>
        <v>July</v>
      </c>
      <c r="H299" s="12">
        <v>45479</v>
      </c>
      <c r="I299" s="12">
        <v>45482</v>
      </c>
      <c r="J299" s="10" t="s">
        <v>22</v>
      </c>
      <c r="K299" s="10" t="s">
        <v>23</v>
      </c>
      <c r="L299" s="10">
        <v>1102.6300000000001</v>
      </c>
      <c r="M299" s="13" t="s">
        <v>30</v>
      </c>
    </row>
    <row r="300" spans="1:13">
      <c r="A300" s="4" t="s">
        <v>360</v>
      </c>
      <c r="B300" s="5" t="s">
        <v>27</v>
      </c>
      <c r="C300" s="5" t="s">
        <v>15</v>
      </c>
      <c r="D300" s="5">
        <v>3696.88</v>
      </c>
      <c r="E300" s="5">
        <v>0.34</v>
      </c>
      <c r="F300" s="5">
        <v>9</v>
      </c>
      <c r="G300" s="6" t="str">
        <f t="shared" si="4"/>
        <v>July</v>
      </c>
      <c r="H300" s="7">
        <v>45130</v>
      </c>
      <c r="I300" s="7">
        <v>45135</v>
      </c>
      <c r="J300" s="5" t="s">
        <v>42</v>
      </c>
      <c r="K300" s="5" t="s">
        <v>29</v>
      </c>
      <c r="L300" s="5">
        <v>690.48</v>
      </c>
      <c r="M300" s="8" t="s">
        <v>87</v>
      </c>
    </row>
    <row r="301" spans="1:13">
      <c r="A301" s="9" t="s">
        <v>361</v>
      </c>
      <c r="B301" s="10" t="s">
        <v>35</v>
      </c>
      <c r="C301" s="10" t="s">
        <v>15</v>
      </c>
      <c r="D301" s="10">
        <v>3372.62</v>
      </c>
      <c r="E301" s="10">
        <v>0.03</v>
      </c>
      <c r="F301" s="10">
        <v>4</v>
      </c>
      <c r="G301" s="11" t="str">
        <f t="shared" si="4"/>
        <v>January</v>
      </c>
      <c r="H301" s="12">
        <v>45298</v>
      </c>
      <c r="I301" s="12">
        <v>45304</v>
      </c>
      <c r="J301" s="10" t="s">
        <v>16</v>
      </c>
      <c r="K301" s="10" t="s">
        <v>17</v>
      </c>
      <c r="L301" s="10">
        <v>196.2</v>
      </c>
      <c r="M301" s="13" t="s">
        <v>25</v>
      </c>
    </row>
    <row r="302" spans="1:13">
      <c r="A302" s="4" t="s">
        <v>362</v>
      </c>
      <c r="B302" s="5" t="s">
        <v>14</v>
      </c>
      <c r="C302" s="5" t="s">
        <v>15</v>
      </c>
      <c r="D302" s="5">
        <v>2409.1799999999998</v>
      </c>
      <c r="E302" s="5">
        <v>0.36</v>
      </c>
      <c r="F302" s="5">
        <v>5</v>
      </c>
      <c r="G302" s="6" t="str">
        <f t="shared" si="4"/>
        <v>February</v>
      </c>
      <c r="H302" s="7">
        <v>45338</v>
      </c>
      <c r="I302" s="7">
        <v>45340</v>
      </c>
      <c r="J302" s="5" t="s">
        <v>42</v>
      </c>
      <c r="K302" s="5" t="s">
        <v>29</v>
      </c>
      <c r="L302" s="5">
        <v>424.14</v>
      </c>
      <c r="M302" s="8" t="s">
        <v>30</v>
      </c>
    </row>
    <row r="303" spans="1:13">
      <c r="A303" s="9" t="s">
        <v>363</v>
      </c>
      <c r="B303" s="10" t="s">
        <v>20</v>
      </c>
      <c r="C303" s="10" t="s">
        <v>47</v>
      </c>
      <c r="D303" s="10">
        <v>108.97</v>
      </c>
      <c r="E303" s="10">
        <v>0.28000000000000003</v>
      </c>
      <c r="F303" s="10">
        <v>6</v>
      </c>
      <c r="G303" s="11" t="str">
        <f t="shared" si="4"/>
        <v>July</v>
      </c>
      <c r="H303" s="12">
        <v>45487</v>
      </c>
      <c r="I303" s="12">
        <v>45492</v>
      </c>
      <c r="J303" s="10" t="s">
        <v>16</v>
      </c>
      <c r="K303" s="10" t="s">
        <v>17</v>
      </c>
      <c r="L303" s="10">
        <v>29.94</v>
      </c>
      <c r="M303" s="13" t="s">
        <v>84</v>
      </c>
    </row>
    <row r="304" spans="1:13">
      <c r="A304" s="4" t="s">
        <v>364</v>
      </c>
      <c r="B304" s="5" t="s">
        <v>27</v>
      </c>
      <c r="C304" s="5" t="s">
        <v>47</v>
      </c>
      <c r="D304" s="5">
        <v>1768.7</v>
      </c>
      <c r="E304" s="5">
        <v>0.12</v>
      </c>
      <c r="F304" s="5">
        <v>7</v>
      </c>
      <c r="G304" s="6" t="str">
        <f t="shared" si="4"/>
        <v>August</v>
      </c>
      <c r="H304" s="7">
        <v>45528</v>
      </c>
      <c r="I304" s="7">
        <v>45535</v>
      </c>
      <c r="J304" s="5" t="s">
        <v>42</v>
      </c>
      <c r="K304" s="5" t="s">
        <v>29</v>
      </c>
      <c r="L304" s="5">
        <v>125.52</v>
      </c>
      <c r="M304" s="8" t="s">
        <v>63</v>
      </c>
    </row>
    <row r="305" spans="1:13">
      <c r="A305" s="9" t="s">
        <v>365</v>
      </c>
      <c r="B305" s="10" t="s">
        <v>35</v>
      </c>
      <c r="C305" s="10" t="s">
        <v>47</v>
      </c>
      <c r="D305" s="10">
        <v>4084.64</v>
      </c>
      <c r="E305" s="10">
        <v>0.33</v>
      </c>
      <c r="F305" s="10">
        <v>5</v>
      </c>
      <c r="G305" s="11" t="str">
        <f t="shared" si="4"/>
        <v>August</v>
      </c>
      <c r="H305" s="12">
        <v>45154</v>
      </c>
      <c r="I305" s="12">
        <v>45159</v>
      </c>
      <c r="J305" s="10" t="s">
        <v>42</v>
      </c>
      <c r="K305" s="10" t="s">
        <v>17</v>
      </c>
      <c r="L305" s="10">
        <v>800.8</v>
      </c>
      <c r="M305" s="13" t="s">
        <v>74</v>
      </c>
    </row>
    <row r="306" spans="1:13">
      <c r="A306" s="4" t="s">
        <v>366</v>
      </c>
      <c r="B306" s="5" t="s">
        <v>14</v>
      </c>
      <c r="C306" s="5" t="s">
        <v>47</v>
      </c>
      <c r="D306" s="5">
        <v>2002.04</v>
      </c>
      <c r="E306" s="5">
        <v>7.0000000000000007E-2</v>
      </c>
      <c r="F306" s="5">
        <v>7</v>
      </c>
      <c r="G306" s="6" t="str">
        <f t="shared" si="4"/>
        <v>February</v>
      </c>
      <c r="H306" s="7">
        <v>44958</v>
      </c>
      <c r="I306" s="7">
        <v>44959</v>
      </c>
      <c r="J306" s="5" t="s">
        <v>22</v>
      </c>
      <c r="K306" s="5" t="s">
        <v>23</v>
      </c>
      <c r="L306" s="5">
        <v>117.22</v>
      </c>
      <c r="M306" s="8" t="s">
        <v>24</v>
      </c>
    </row>
    <row r="307" spans="1:13">
      <c r="A307" s="9" t="s">
        <v>367</v>
      </c>
      <c r="B307" s="10" t="s">
        <v>20</v>
      </c>
      <c r="C307" s="10" t="s">
        <v>52</v>
      </c>
      <c r="D307" s="10">
        <v>2862.71</v>
      </c>
      <c r="E307" s="10">
        <v>0.17</v>
      </c>
      <c r="F307" s="10">
        <v>2</v>
      </c>
      <c r="G307" s="11" t="str">
        <f t="shared" si="4"/>
        <v>November</v>
      </c>
      <c r="H307" s="12">
        <v>45617</v>
      </c>
      <c r="I307" s="12">
        <v>45623</v>
      </c>
      <c r="J307" s="10" t="s">
        <v>42</v>
      </c>
      <c r="K307" s="10" t="s">
        <v>29</v>
      </c>
      <c r="L307" s="10">
        <v>491.84</v>
      </c>
      <c r="M307" s="13" t="s">
        <v>37</v>
      </c>
    </row>
    <row r="308" spans="1:13">
      <c r="A308" s="4" t="s">
        <v>368</v>
      </c>
      <c r="B308" s="5" t="s">
        <v>27</v>
      </c>
      <c r="C308" s="5" t="s">
        <v>21</v>
      </c>
      <c r="D308" s="5">
        <v>1103.23</v>
      </c>
      <c r="E308" s="5">
        <v>0.2</v>
      </c>
      <c r="F308" s="5">
        <v>7</v>
      </c>
      <c r="G308" s="6" t="str">
        <f t="shared" si="4"/>
        <v>December</v>
      </c>
      <c r="H308" s="7">
        <v>45272</v>
      </c>
      <c r="I308" s="7">
        <v>45273</v>
      </c>
      <c r="J308" s="5" t="s">
        <v>42</v>
      </c>
      <c r="K308" s="5" t="s">
        <v>29</v>
      </c>
      <c r="L308" s="5">
        <v>245.99</v>
      </c>
      <c r="M308" s="8" t="s">
        <v>54</v>
      </c>
    </row>
    <row r="309" spans="1:13">
      <c r="A309" s="9" t="s">
        <v>369</v>
      </c>
      <c r="B309" s="10" t="s">
        <v>35</v>
      </c>
      <c r="C309" s="10" t="s">
        <v>52</v>
      </c>
      <c r="D309" s="10">
        <v>4587.7</v>
      </c>
      <c r="E309" s="10">
        <v>0.39</v>
      </c>
      <c r="F309" s="10">
        <v>5</v>
      </c>
      <c r="G309" s="11" t="str">
        <f t="shared" si="4"/>
        <v>July</v>
      </c>
      <c r="H309" s="12">
        <v>45123</v>
      </c>
      <c r="I309" s="12">
        <v>45130</v>
      </c>
      <c r="J309" s="10" t="s">
        <v>16</v>
      </c>
      <c r="K309" s="10" t="s">
        <v>23</v>
      </c>
      <c r="L309" s="10">
        <v>665.8</v>
      </c>
      <c r="M309" s="13" t="s">
        <v>113</v>
      </c>
    </row>
    <row r="310" spans="1:13">
      <c r="A310" s="4" t="s">
        <v>370</v>
      </c>
      <c r="B310" s="5" t="s">
        <v>14</v>
      </c>
      <c r="C310" s="5" t="s">
        <v>15</v>
      </c>
      <c r="D310" s="5">
        <v>4623.54</v>
      </c>
      <c r="E310" s="5">
        <v>0.15</v>
      </c>
      <c r="F310" s="5">
        <v>5</v>
      </c>
      <c r="G310" s="6" t="str">
        <f t="shared" si="4"/>
        <v>October</v>
      </c>
      <c r="H310" s="7">
        <v>45220</v>
      </c>
      <c r="I310" s="7">
        <v>45221</v>
      </c>
      <c r="J310" s="5" t="s">
        <v>22</v>
      </c>
      <c r="K310" s="5" t="s">
        <v>29</v>
      </c>
      <c r="L310" s="5">
        <v>362.88</v>
      </c>
      <c r="M310" s="8" t="s">
        <v>63</v>
      </c>
    </row>
    <row r="311" spans="1:13">
      <c r="A311" s="9" t="s">
        <v>371</v>
      </c>
      <c r="B311" s="10" t="s">
        <v>20</v>
      </c>
      <c r="C311" s="10" t="s">
        <v>52</v>
      </c>
      <c r="D311" s="10">
        <v>815.74</v>
      </c>
      <c r="E311" s="10">
        <v>0.02</v>
      </c>
      <c r="F311" s="10">
        <v>6</v>
      </c>
      <c r="G311" s="11" t="str">
        <f t="shared" si="4"/>
        <v>August</v>
      </c>
      <c r="H311" s="12">
        <v>45515</v>
      </c>
      <c r="I311" s="12">
        <v>45517</v>
      </c>
      <c r="J311" s="10" t="s">
        <v>42</v>
      </c>
      <c r="K311" s="10" t="s">
        <v>17</v>
      </c>
      <c r="L311" s="10">
        <v>234</v>
      </c>
      <c r="M311" s="13" t="s">
        <v>36</v>
      </c>
    </row>
    <row r="312" spans="1:13">
      <c r="A312" s="4" t="s">
        <v>372</v>
      </c>
      <c r="B312" s="5" t="s">
        <v>27</v>
      </c>
      <c r="C312" s="5" t="s">
        <v>28</v>
      </c>
      <c r="D312" s="5">
        <v>3648.38</v>
      </c>
      <c r="E312" s="5">
        <v>0.09</v>
      </c>
      <c r="F312" s="5">
        <v>9</v>
      </c>
      <c r="G312" s="6" t="str">
        <f t="shared" si="4"/>
        <v>May</v>
      </c>
      <c r="H312" s="7">
        <v>45048</v>
      </c>
      <c r="I312" s="7">
        <v>45051</v>
      </c>
      <c r="J312" s="5" t="s">
        <v>22</v>
      </c>
      <c r="K312" s="5" t="s">
        <v>23</v>
      </c>
      <c r="L312" s="5">
        <v>1033.49</v>
      </c>
      <c r="M312" s="8" t="s">
        <v>118</v>
      </c>
    </row>
    <row r="313" spans="1:13">
      <c r="A313" s="9" t="s">
        <v>373</v>
      </c>
      <c r="B313" s="10" t="s">
        <v>35</v>
      </c>
      <c r="C313" s="10" t="s">
        <v>47</v>
      </c>
      <c r="D313" s="10">
        <v>468.67</v>
      </c>
      <c r="E313" s="10">
        <v>0.3</v>
      </c>
      <c r="F313" s="10">
        <v>4</v>
      </c>
      <c r="G313" s="11" t="str">
        <f t="shared" si="4"/>
        <v>September</v>
      </c>
      <c r="H313" s="12">
        <v>45562</v>
      </c>
      <c r="I313" s="12">
        <v>45564</v>
      </c>
      <c r="J313" s="10" t="s">
        <v>22</v>
      </c>
      <c r="K313" s="10" t="s">
        <v>17</v>
      </c>
      <c r="L313" s="10">
        <v>116.61</v>
      </c>
      <c r="M313" s="13" t="s">
        <v>74</v>
      </c>
    </row>
    <row r="314" spans="1:13">
      <c r="A314" s="4" t="s">
        <v>374</v>
      </c>
      <c r="B314" s="5" t="s">
        <v>14</v>
      </c>
      <c r="C314" s="5" t="s">
        <v>28</v>
      </c>
      <c r="D314" s="5">
        <v>3032.88</v>
      </c>
      <c r="E314" s="5">
        <v>0.01</v>
      </c>
      <c r="F314" s="5">
        <v>5</v>
      </c>
      <c r="G314" s="6" t="str">
        <f t="shared" si="4"/>
        <v>January</v>
      </c>
      <c r="H314" s="7">
        <v>45301</v>
      </c>
      <c r="I314" s="7">
        <v>45308</v>
      </c>
      <c r="J314" s="5" t="s">
        <v>42</v>
      </c>
      <c r="K314" s="5" t="s">
        <v>23</v>
      </c>
      <c r="L314" s="5">
        <v>309.11</v>
      </c>
      <c r="M314" s="8" t="s">
        <v>82</v>
      </c>
    </row>
    <row r="315" spans="1:13">
      <c r="A315" s="9" t="s">
        <v>375</v>
      </c>
      <c r="B315" s="10" t="s">
        <v>20</v>
      </c>
      <c r="C315" s="10" t="s">
        <v>28</v>
      </c>
      <c r="D315" s="10">
        <v>975.4</v>
      </c>
      <c r="E315" s="10">
        <v>0.4</v>
      </c>
      <c r="F315" s="10">
        <v>5</v>
      </c>
      <c r="G315" s="11" t="str">
        <f t="shared" si="4"/>
        <v>July</v>
      </c>
      <c r="H315" s="12">
        <v>45483</v>
      </c>
      <c r="I315" s="12">
        <v>45486</v>
      </c>
      <c r="J315" s="10" t="s">
        <v>42</v>
      </c>
      <c r="K315" s="10" t="s">
        <v>17</v>
      </c>
      <c r="L315" s="10">
        <v>237.24</v>
      </c>
      <c r="M315" s="13" t="s">
        <v>77</v>
      </c>
    </row>
    <row r="316" spans="1:13">
      <c r="A316" s="4" t="s">
        <v>376</v>
      </c>
      <c r="B316" s="5" t="s">
        <v>27</v>
      </c>
      <c r="C316" s="5" t="s">
        <v>15</v>
      </c>
      <c r="D316" s="5">
        <v>813.96</v>
      </c>
      <c r="E316" s="5">
        <v>0.45</v>
      </c>
      <c r="F316" s="5">
        <v>3</v>
      </c>
      <c r="G316" s="6" t="str">
        <f t="shared" si="4"/>
        <v>January</v>
      </c>
      <c r="H316" s="7">
        <v>44942</v>
      </c>
      <c r="I316" s="7">
        <v>44944</v>
      </c>
      <c r="J316" s="5" t="s">
        <v>42</v>
      </c>
      <c r="K316" s="5" t="s">
        <v>29</v>
      </c>
      <c r="L316" s="5">
        <v>108.85</v>
      </c>
      <c r="M316" s="8" t="s">
        <v>77</v>
      </c>
    </row>
    <row r="317" spans="1:13">
      <c r="A317" s="9" t="s">
        <v>377</v>
      </c>
      <c r="B317" s="10" t="s">
        <v>35</v>
      </c>
      <c r="C317" s="10" t="s">
        <v>47</v>
      </c>
      <c r="D317" s="10">
        <v>120.19</v>
      </c>
      <c r="E317" s="10">
        <v>0.25</v>
      </c>
      <c r="F317" s="10">
        <v>3</v>
      </c>
      <c r="G317" s="11" t="str">
        <f t="shared" si="4"/>
        <v>March</v>
      </c>
      <c r="H317" s="12">
        <v>45364</v>
      </c>
      <c r="I317" s="12">
        <v>45370</v>
      </c>
      <c r="J317" s="10" t="s">
        <v>42</v>
      </c>
      <c r="K317" s="10" t="s">
        <v>17</v>
      </c>
      <c r="L317" s="10">
        <v>24.31</v>
      </c>
      <c r="M317" s="13" t="s">
        <v>113</v>
      </c>
    </row>
    <row r="318" spans="1:13">
      <c r="A318" s="4" t="s">
        <v>378</v>
      </c>
      <c r="B318" s="5" t="s">
        <v>14</v>
      </c>
      <c r="C318" s="5" t="s">
        <v>28</v>
      </c>
      <c r="D318" s="5">
        <v>4710.2</v>
      </c>
      <c r="E318" s="5">
        <v>0.35</v>
      </c>
      <c r="F318" s="5">
        <v>1</v>
      </c>
      <c r="G318" s="6" t="str">
        <f t="shared" si="4"/>
        <v>December</v>
      </c>
      <c r="H318" s="7">
        <v>45275</v>
      </c>
      <c r="I318" s="7">
        <v>45280</v>
      </c>
      <c r="J318" s="5" t="s">
        <v>42</v>
      </c>
      <c r="K318" s="5" t="s">
        <v>29</v>
      </c>
      <c r="L318" s="5">
        <v>762.19</v>
      </c>
      <c r="M318" s="8" t="s">
        <v>25</v>
      </c>
    </row>
    <row r="319" spans="1:13">
      <c r="A319" s="9" t="s">
        <v>379</v>
      </c>
      <c r="B319" s="10" t="s">
        <v>20</v>
      </c>
      <c r="C319" s="10" t="s">
        <v>15</v>
      </c>
      <c r="D319" s="10">
        <v>4163.34</v>
      </c>
      <c r="E319" s="10">
        <v>0.23</v>
      </c>
      <c r="F319" s="10">
        <v>4</v>
      </c>
      <c r="G319" s="11" t="str">
        <f t="shared" si="4"/>
        <v>July</v>
      </c>
      <c r="H319" s="12">
        <v>45136</v>
      </c>
      <c r="I319" s="12">
        <v>45141</v>
      </c>
      <c r="J319" s="10" t="s">
        <v>22</v>
      </c>
      <c r="K319" s="10" t="s">
        <v>23</v>
      </c>
      <c r="L319" s="10">
        <v>468.81</v>
      </c>
      <c r="M319" s="13" t="s">
        <v>84</v>
      </c>
    </row>
    <row r="320" spans="1:13">
      <c r="A320" s="4" t="s">
        <v>380</v>
      </c>
      <c r="B320" s="5" t="s">
        <v>27</v>
      </c>
      <c r="C320" s="5" t="s">
        <v>47</v>
      </c>
      <c r="D320" s="5">
        <v>479.63</v>
      </c>
      <c r="E320" s="5">
        <v>0.15</v>
      </c>
      <c r="F320" s="5">
        <v>9</v>
      </c>
      <c r="G320" s="6" t="str">
        <f t="shared" si="4"/>
        <v>June</v>
      </c>
      <c r="H320" s="7">
        <v>45086</v>
      </c>
      <c r="I320" s="7">
        <v>45089</v>
      </c>
      <c r="J320" s="5" t="s">
        <v>16</v>
      </c>
      <c r="K320" s="5" t="s">
        <v>17</v>
      </c>
      <c r="L320" s="5">
        <v>102.29</v>
      </c>
      <c r="M320" s="8" t="s">
        <v>77</v>
      </c>
    </row>
    <row r="321" spans="1:13">
      <c r="A321" s="9" t="s">
        <v>381</v>
      </c>
      <c r="B321" s="10" t="s">
        <v>35</v>
      </c>
      <c r="C321" s="10" t="s">
        <v>21</v>
      </c>
      <c r="D321" s="10">
        <v>3036.94</v>
      </c>
      <c r="E321" s="10">
        <v>0.08</v>
      </c>
      <c r="F321" s="10">
        <v>2</v>
      </c>
      <c r="G321" s="11" t="str">
        <f t="shared" si="4"/>
        <v>October</v>
      </c>
      <c r="H321" s="12">
        <v>45211</v>
      </c>
      <c r="I321" s="12">
        <v>45214</v>
      </c>
      <c r="J321" s="10" t="s">
        <v>22</v>
      </c>
      <c r="K321" s="10" t="s">
        <v>17</v>
      </c>
      <c r="L321" s="10">
        <v>697.79</v>
      </c>
      <c r="M321" s="13" t="s">
        <v>56</v>
      </c>
    </row>
    <row r="322" spans="1:13">
      <c r="A322" s="4" t="s">
        <v>382</v>
      </c>
      <c r="B322" s="5" t="s">
        <v>14</v>
      </c>
      <c r="C322" s="5" t="s">
        <v>15</v>
      </c>
      <c r="D322" s="5">
        <v>1241.2</v>
      </c>
      <c r="E322" s="5">
        <v>0.26</v>
      </c>
      <c r="F322" s="5">
        <v>4</v>
      </c>
      <c r="G322" s="6" t="str">
        <f t="shared" ref="G322:G385" si="5">TEXT(H322,"mmmm")</f>
        <v>February</v>
      </c>
      <c r="H322" s="7">
        <v>44978</v>
      </c>
      <c r="I322" s="7">
        <v>44981</v>
      </c>
      <c r="J322" s="5" t="s">
        <v>42</v>
      </c>
      <c r="K322" s="5" t="s">
        <v>29</v>
      </c>
      <c r="L322" s="5">
        <v>226</v>
      </c>
      <c r="M322" s="8" t="s">
        <v>77</v>
      </c>
    </row>
    <row r="323" spans="1:13">
      <c r="A323" s="9" t="s">
        <v>383</v>
      </c>
      <c r="B323" s="10" t="s">
        <v>20</v>
      </c>
      <c r="C323" s="10" t="s">
        <v>52</v>
      </c>
      <c r="D323" s="10">
        <v>1393.68</v>
      </c>
      <c r="E323" s="10">
        <v>0.46</v>
      </c>
      <c r="F323" s="10">
        <v>9</v>
      </c>
      <c r="G323" s="11" t="str">
        <f t="shared" si="5"/>
        <v>March</v>
      </c>
      <c r="H323" s="12">
        <v>45007</v>
      </c>
      <c r="I323" s="12">
        <v>45014</v>
      </c>
      <c r="J323" s="10" t="s">
        <v>22</v>
      </c>
      <c r="K323" s="10" t="s">
        <v>23</v>
      </c>
      <c r="L323" s="10">
        <v>126.14</v>
      </c>
      <c r="M323" s="13" t="s">
        <v>118</v>
      </c>
    </row>
    <row r="324" spans="1:13">
      <c r="A324" s="4" t="s">
        <v>384</v>
      </c>
      <c r="B324" s="5" t="s">
        <v>27</v>
      </c>
      <c r="C324" s="5" t="s">
        <v>47</v>
      </c>
      <c r="D324" s="5">
        <v>4383.43</v>
      </c>
      <c r="E324" s="5">
        <v>0.44</v>
      </c>
      <c r="F324" s="5">
        <v>9</v>
      </c>
      <c r="G324" s="6" t="str">
        <f t="shared" si="5"/>
        <v>January</v>
      </c>
      <c r="H324" s="7">
        <v>45307</v>
      </c>
      <c r="I324" s="7">
        <v>45311</v>
      </c>
      <c r="J324" s="5" t="s">
        <v>16</v>
      </c>
      <c r="K324" s="5" t="s">
        <v>29</v>
      </c>
      <c r="L324" s="5">
        <v>761.11</v>
      </c>
      <c r="M324" s="8" t="s">
        <v>56</v>
      </c>
    </row>
    <row r="325" spans="1:13">
      <c r="A325" s="9" t="s">
        <v>385</v>
      </c>
      <c r="B325" s="10" t="s">
        <v>35</v>
      </c>
      <c r="C325" s="10" t="s">
        <v>28</v>
      </c>
      <c r="D325" s="10">
        <v>660.2</v>
      </c>
      <c r="E325" s="10">
        <v>0.46</v>
      </c>
      <c r="F325" s="10">
        <v>8</v>
      </c>
      <c r="G325" s="11" t="str">
        <f t="shared" si="5"/>
        <v>December</v>
      </c>
      <c r="H325" s="12">
        <v>45278</v>
      </c>
      <c r="I325" s="12">
        <v>45279</v>
      </c>
      <c r="J325" s="10" t="s">
        <v>22</v>
      </c>
      <c r="K325" s="10" t="s">
        <v>23</v>
      </c>
      <c r="L325" s="10">
        <v>159.93</v>
      </c>
      <c r="M325" s="13" t="s">
        <v>24</v>
      </c>
    </row>
    <row r="326" spans="1:13">
      <c r="A326" s="4" t="s">
        <v>386</v>
      </c>
      <c r="B326" s="5" t="s">
        <v>14</v>
      </c>
      <c r="C326" s="5" t="s">
        <v>28</v>
      </c>
      <c r="D326" s="5">
        <v>3047.3</v>
      </c>
      <c r="E326" s="5">
        <v>0.48</v>
      </c>
      <c r="F326" s="5">
        <v>2</v>
      </c>
      <c r="G326" s="6" t="str">
        <f t="shared" si="5"/>
        <v>October</v>
      </c>
      <c r="H326" s="7">
        <v>45211</v>
      </c>
      <c r="I326" s="7">
        <v>45215</v>
      </c>
      <c r="J326" s="5" t="s">
        <v>42</v>
      </c>
      <c r="K326" s="5" t="s">
        <v>29</v>
      </c>
      <c r="L326" s="5">
        <v>797.25</v>
      </c>
      <c r="M326" s="8" t="s">
        <v>113</v>
      </c>
    </row>
    <row r="327" spans="1:13">
      <c r="A327" s="9" t="s">
        <v>387</v>
      </c>
      <c r="B327" s="10" t="s">
        <v>20</v>
      </c>
      <c r="C327" s="10" t="s">
        <v>52</v>
      </c>
      <c r="D327" s="10">
        <v>2066.15</v>
      </c>
      <c r="E327" s="10">
        <v>0.08</v>
      </c>
      <c r="F327" s="10">
        <v>3</v>
      </c>
      <c r="G327" s="11" t="str">
        <f t="shared" si="5"/>
        <v>May</v>
      </c>
      <c r="H327" s="12">
        <v>45416</v>
      </c>
      <c r="I327" s="12">
        <v>45420</v>
      </c>
      <c r="J327" s="10" t="s">
        <v>42</v>
      </c>
      <c r="K327" s="10" t="s">
        <v>29</v>
      </c>
      <c r="L327" s="10">
        <v>117.23</v>
      </c>
      <c r="M327" s="13" t="s">
        <v>74</v>
      </c>
    </row>
    <row r="328" spans="1:13">
      <c r="A328" s="4" t="s">
        <v>388</v>
      </c>
      <c r="B328" s="5" t="s">
        <v>27</v>
      </c>
      <c r="C328" s="5" t="s">
        <v>52</v>
      </c>
      <c r="D328" s="5">
        <v>1034.92</v>
      </c>
      <c r="E328" s="5">
        <v>7.0000000000000007E-2</v>
      </c>
      <c r="F328" s="5">
        <v>6</v>
      </c>
      <c r="G328" s="6" t="str">
        <f t="shared" si="5"/>
        <v>January</v>
      </c>
      <c r="H328" s="7">
        <v>45313</v>
      </c>
      <c r="I328" s="7">
        <v>45318</v>
      </c>
      <c r="J328" s="5" t="s">
        <v>42</v>
      </c>
      <c r="K328" s="5" t="s">
        <v>29</v>
      </c>
      <c r="L328" s="5">
        <v>100.03</v>
      </c>
      <c r="M328" s="8" t="s">
        <v>37</v>
      </c>
    </row>
    <row r="329" spans="1:13">
      <c r="A329" s="9" t="s">
        <v>389</v>
      </c>
      <c r="B329" s="10" t="s">
        <v>35</v>
      </c>
      <c r="C329" s="10" t="s">
        <v>28</v>
      </c>
      <c r="D329" s="10">
        <v>2314.4</v>
      </c>
      <c r="E329" s="10">
        <v>0.21</v>
      </c>
      <c r="F329" s="10">
        <v>2</v>
      </c>
      <c r="G329" s="11" t="str">
        <f t="shared" si="5"/>
        <v>March</v>
      </c>
      <c r="H329" s="12">
        <v>45361</v>
      </c>
      <c r="I329" s="12">
        <v>45367</v>
      </c>
      <c r="J329" s="10" t="s">
        <v>16</v>
      </c>
      <c r="K329" s="10" t="s">
        <v>17</v>
      </c>
      <c r="L329" s="10">
        <v>653.86</v>
      </c>
      <c r="M329" s="13" t="s">
        <v>59</v>
      </c>
    </row>
    <row r="330" spans="1:13">
      <c r="A330" s="4" t="s">
        <v>390</v>
      </c>
      <c r="B330" s="5" t="s">
        <v>14</v>
      </c>
      <c r="C330" s="5" t="s">
        <v>47</v>
      </c>
      <c r="D330" s="5">
        <v>4708.3999999999996</v>
      </c>
      <c r="E330" s="5">
        <v>0.34</v>
      </c>
      <c r="F330" s="5">
        <v>3</v>
      </c>
      <c r="G330" s="6" t="str">
        <f t="shared" si="5"/>
        <v>August</v>
      </c>
      <c r="H330" s="7">
        <v>45506</v>
      </c>
      <c r="I330" s="7">
        <v>45511</v>
      </c>
      <c r="J330" s="5" t="s">
        <v>42</v>
      </c>
      <c r="K330" s="5" t="s">
        <v>17</v>
      </c>
      <c r="L330" s="5">
        <v>1155.56</v>
      </c>
      <c r="M330" s="8" t="s">
        <v>77</v>
      </c>
    </row>
    <row r="331" spans="1:13">
      <c r="A331" s="9" t="s">
        <v>391</v>
      </c>
      <c r="B331" s="10" t="s">
        <v>20</v>
      </c>
      <c r="C331" s="10" t="s">
        <v>15</v>
      </c>
      <c r="D331" s="10">
        <v>3929.89</v>
      </c>
      <c r="E331" s="10">
        <v>0.22</v>
      </c>
      <c r="F331" s="10">
        <v>1</v>
      </c>
      <c r="G331" s="11" t="str">
        <f t="shared" si="5"/>
        <v>February</v>
      </c>
      <c r="H331" s="12">
        <v>44970</v>
      </c>
      <c r="I331" s="12">
        <v>44973</v>
      </c>
      <c r="J331" s="10" t="s">
        <v>42</v>
      </c>
      <c r="K331" s="10" t="s">
        <v>29</v>
      </c>
      <c r="L331" s="10">
        <v>902.41</v>
      </c>
      <c r="M331" s="13" t="s">
        <v>25</v>
      </c>
    </row>
    <row r="332" spans="1:13">
      <c r="A332" s="4" t="s">
        <v>392</v>
      </c>
      <c r="B332" s="5" t="s">
        <v>27</v>
      </c>
      <c r="C332" s="5" t="s">
        <v>52</v>
      </c>
      <c r="D332" s="5">
        <v>747.35</v>
      </c>
      <c r="E332" s="5">
        <v>0.45</v>
      </c>
      <c r="F332" s="5">
        <v>4</v>
      </c>
      <c r="G332" s="6" t="str">
        <f t="shared" si="5"/>
        <v>May</v>
      </c>
      <c r="H332" s="7">
        <v>45433</v>
      </c>
      <c r="I332" s="7">
        <v>45438</v>
      </c>
      <c r="J332" s="5" t="s">
        <v>42</v>
      </c>
      <c r="K332" s="5" t="s">
        <v>23</v>
      </c>
      <c r="L332" s="5">
        <v>63.14</v>
      </c>
      <c r="M332" s="8" t="s">
        <v>74</v>
      </c>
    </row>
    <row r="333" spans="1:13">
      <c r="A333" s="9" t="s">
        <v>393</v>
      </c>
      <c r="B333" s="10" t="s">
        <v>35</v>
      </c>
      <c r="C333" s="10" t="s">
        <v>52</v>
      </c>
      <c r="D333" s="10">
        <v>4262.21</v>
      </c>
      <c r="E333" s="10">
        <v>0.36</v>
      </c>
      <c r="F333" s="10">
        <v>6</v>
      </c>
      <c r="G333" s="11" t="str">
        <f t="shared" si="5"/>
        <v>October</v>
      </c>
      <c r="H333" s="12">
        <v>45588</v>
      </c>
      <c r="I333" s="12">
        <v>45591</v>
      </c>
      <c r="J333" s="10" t="s">
        <v>42</v>
      </c>
      <c r="K333" s="10" t="s">
        <v>17</v>
      </c>
      <c r="L333" s="10">
        <v>217.76</v>
      </c>
      <c r="M333" s="13" t="s">
        <v>18</v>
      </c>
    </row>
    <row r="334" spans="1:13">
      <c r="A334" s="4" t="s">
        <v>394</v>
      </c>
      <c r="B334" s="5" t="s">
        <v>14</v>
      </c>
      <c r="C334" s="5" t="s">
        <v>52</v>
      </c>
      <c r="D334" s="5">
        <v>4693.46</v>
      </c>
      <c r="E334" s="5">
        <v>0.32</v>
      </c>
      <c r="F334" s="5">
        <v>1</v>
      </c>
      <c r="G334" s="6" t="str">
        <f t="shared" si="5"/>
        <v>June</v>
      </c>
      <c r="H334" s="7">
        <v>45096</v>
      </c>
      <c r="I334" s="7">
        <v>45102</v>
      </c>
      <c r="J334" s="5" t="s">
        <v>22</v>
      </c>
      <c r="K334" s="5" t="s">
        <v>29</v>
      </c>
      <c r="L334" s="5">
        <v>925.54</v>
      </c>
      <c r="M334" s="8" t="s">
        <v>59</v>
      </c>
    </row>
    <row r="335" spans="1:13">
      <c r="A335" s="9" t="s">
        <v>395</v>
      </c>
      <c r="B335" s="10" t="s">
        <v>20</v>
      </c>
      <c r="C335" s="10" t="s">
        <v>21</v>
      </c>
      <c r="D335" s="10">
        <v>1457.12</v>
      </c>
      <c r="E335" s="10">
        <v>0.04</v>
      </c>
      <c r="F335" s="10">
        <v>1</v>
      </c>
      <c r="G335" s="11" t="str">
        <f t="shared" si="5"/>
        <v>March</v>
      </c>
      <c r="H335" s="12">
        <v>45001</v>
      </c>
      <c r="I335" s="12">
        <v>45007</v>
      </c>
      <c r="J335" s="10" t="s">
        <v>42</v>
      </c>
      <c r="K335" s="10" t="s">
        <v>23</v>
      </c>
      <c r="L335" s="10">
        <v>388.34</v>
      </c>
      <c r="M335" s="13" t="s">
        <v>74</v>
      </c>
    </row>
    <row r="336" spans="1:13">
      <c r="A336" s="4" t="s">
        <v>396</v>
      </c>
      <c r="B336" s="5" t="s">
        <v>27</v>
      </c>
      <c r="C336" s="5" t="s">
        <v>47</v>
      </c>
      <c r="D336" s="5">
        <v>1733.76</v>
      </c>
      <c r="E336" s="5">
        <v>0.09</v>
      </c>
      <c r="F336" s="5">
        <v>8</v>
      </c>
      <c r="G336" s="6" t="str">
        <f t="shared" si="5"/>
        <v>January</v>
      </c>
      <c r="H336" s="7">
        <v>44934</v>
      </c>
      <c r="I336" s="7">
        <v>44938</v>
      </c>
      <c r="J336" s="5" t="s">
        <v>22</v>
      </c>
      <c r="K336" s="5" t="s">
        <v>23</v>
      </c>
      <c r="L336" s="5">
        <v>117.57</v>
      </c>
      <c r="M336" s="8" t="s">
        <v>118</v>
      </c>
    </row>
    <row r="337" spans="1:13">
      <c r="A337" s="9" t="s">
        <v>397</v>
      </c>
      <c r="B337" s="10" t="s">
        <v>35</v>
      </c>
      <c r="C337" s="10" t="s">
        <v>47</v>
      </c>
      <c r="D337" s="10">
        <v>718.92</v>
      </c>
      <c r="E337" s="10">
        <v>0.21</v>
      </c>
      <c r="F337" s="10">
        <v>7</v>
      </c>
      <c r="G337" s="11" t="str">
        <f t="shared" si="5"/>
        <v>April</v>
      </c>
      <c r="H337" s="12">
        <v>45401</v>
      </c>
      <c r="I337" s="12">
        <v>45402</v>
      </c>
      <c r="J337" s="10" t="s">
        <v>16</v>
      </c>
      <c r="K337" s="10" t="s">
        <v>23</v>
      </c>
      <c r="L337" s="10">
        <v>48.42</v>
      </c>
      <c r="M337" s="13" t="s">
        <v>118</v>
      </c>
    </row>
    <row r="338" spans="1:13">
      <c r="A338" s="4" t="s">
        <v>398</v>
      </c>
      <c r="B338" s="5" t="s">
        <v>14</v>
      </c>
      <c r="C338" s="5" t="s">
        <v>47</v>
      </c>
      <c r="D338" s="5">
        <v>1790.21</v>
      </c>
      <c r="E338" s="5">
        <v>0.49</v>
      </c>
      <c r="F338" s="5">
        <v>7</v>
      </c>
      <c r="G338" s="6" t="str">
        <f t="shared" si="5"/>
        <v>June</v>
      </c>
      <c r="H338" s="7">
        <v>45098</v>
      </c>
      <c r="I338" s="7">
        <v>45103</v>
      </c>
      <c r="J338" s="5" t="s">
        <v>22</v>
      </c>
      <c r="K338" s="5" t="s">
        <v>29</v>
      </c>
      <c r="L338" s="5">
        <v>536.41999999999996</v>
      </c>
      <c r="M338" s="8" t="s">
        <v>18</v>
      </c>
    </row>
    <row r="339" spans="1:13">
      <c r="A339" s="9" t="s">
        <v>399</v>
      </c>
      <c r="B339" s="10" t="s">
        <v>20</v>
      </c>
      <c r="C339" s="10" t="s">
        <v>47</v>
      </c>
      <c r="D339" s="10">
        <v>3398.39</v>
      </c>
      <c r="E339" s="10">
        <v>0.17</v>
      </c>
      <c r="F339" s="10">
        <v>7</v>
      </c>
      <c r="G339" s="11" t="str">
        <f t="shared" si="5"/>
        <v>March</v>
      </c>
      <c r="H339" s="12">
        <v>45363</v>
      </c>
      <c r="I339" s="12">
        <v>45367</v>
      </c>
      <c r="J339" s="10" t="s">
        <v>22</v>
      </c>
      <c r="K339" s="10" t="s">
        <v>17</v>
      </c>
      <c r="L339" s="10">
        <v>370.75</v>
      </c>
      <c r="M339" s="13" t="s">
        <v>82</v>
      </c>
    </row>
    <row r="340" spans="1:13">
      <c r="A340" s="4" t="s">
        <v>400</v>
      </c>
      <c r="B340" s="5" t="s">
        <v>27</v>
      </c>
      <c r="C340" s="5" t="s">
        <v>47</v>
      </c>
      <c r="D340" s="5">
        <v>1433.56</v>
      </c>
      <c r="E340" s="5">
        <v>0.31</v>
      </c>
      <c r="F340" s="5">
        <v>5</v>
      </c>
      <c r="G340" s="6" t="str">
        <f t="shared" si="5"/>
        <v>September</v>
      </c>
      <c r="H340" s="7">
        <v>45563</v>
      </c>
      <c r="I340" s="7">
        <v>45569</v>
      </c>
      <c r="J340" s="5" t="s">
        <v>22</v>
      </c>
      <c r="K340" s="5" t="s">
        <v>23</v>
      </c>
      <c r="L340" s="5">
        <v>310.11</v>
      </c>
      <c r="M340" s="8" t="s">
        <v>63</v>
      </c>
    </row>
    <row r="341" spans="1:13">
      <c r="A341" s="9" t="s">
        <v>401</v>
      </c>
      <c r="B341" s="10" t="s">
        <v>35</v>
      </c>
      <c r="C341" s="10" t="s">
        <v>28</v>
      </c>
      <c r="D341" s="10">
        <v>133.44</v>
      </c>
      <c r="E341" s="10">
        <v>0.49</v>
      </c>
      <c r="F341" s="10">
        <v>4</v>
      </c>
      <c r="G341" s="11" t="str">
        <f t="shared" si="5"/>
        <v>December</v>
      </c>
      <c r="H341" s="12">
        <v>45652</v>
      </c>
      <c r="I341" s="12">
        <v>45655</v>
      </c>
      <c r="J341" s="10" t="s">
        <v>22</v>
      </c>
      <c r="K341" s="10" t="s">
        <v>29</v>
      </c>
      <c r="L341" s="10">
        <v>25.28</v>
      </c>
      <c r="M341" s="13" t="s">
        <v>74</v>
      </c>
    </row>
    <row r="342" spans="1:13">
      <c r="A342" s="4" t="s">
        <v>402</v>
      </c>
      <c r="B342" s="5" t="s">
        <v>14</v>
      </c>
      <c r="C342" s="5" t="s">
        <v>52</v>
      </c>
      <c r="D342" s="5">
        <v>1758.87</v>
      </c>
      <c r="E342" s="5">
        <v>0.13</v>
      </c>
      <c r="F342" s="5">
        <v>7</v>
      </c>
      <c r="G342" s="6" t="str">
        <f t="shared" si="5"/>
        <v>March</v>
      </c>
      <c r="H342" s="7">
        <v>45377</v>
      </c>
      <c r="I342" s="7">
        <v>45382</v>
      </c>
      <c r="J342" s="5" t="s">
        <v>22</v>
      </c>
      <c r="K342" s="5" t="s">
        <v>29</v>
      </c>
      <c r="L342" s="5">
        <v>270.22000000000003</v>
      </c>
      <c r="M342" s="8" t="s">
        <v>36</v>
      </c>
    </row>
    <row r="343" spans="1:13">
      <c r="A343" s="9" t="s">
        <v>403</v>
      </c>
      <c r="B343" s="10" t="s">
        <v>20</v>
      </c>
      <c r="C343" s="10" t="s">
        <v>28</v>
      </c>
      <c r="D343" s="10">
        <v>2320.5500000000002</v>
      </c>
      <c r="E343" s="10">
        <v>0.08</v>
      </c>
      <c r="F343" s="10">
        <v>3</v>
      </c>
      <c r="G343" s="11" t="str">
        <f t="shared" si="5"/>
        <v>October</v>
      </c>
      <c r="H343" s="12">
        <v>45577</v>
      </c>
      <c r="I343" s="12">
        <v>45583</v>
      </c>
      <c r="J343" s="10" t="s">
        <v>22</v>
      </c>
      <c r="K343" s="10" t="s">
        <v>29</v>
      </c>
      <c r="L343" s="10">
        <v>581.83000000000004</v>
      </c>
      <c r="M343" s="13" t="s">
        <v>74</v>
      </c>
    </row>
    <row r="344" spans="1:13">
      <c r="A344" s="4" t="s">
        <v>404</v>
      </c>
      <c r="B344" s="5" t="s">
        <v>27</v>
      </c>
      <c r="C344" s="5" t="s">
        <v>21</v>
      </c>
      <c r="D344" s="5">
        <v>2875.14</v>
      </c>
      <c r="E344" s="5">
        <v>0.27</v>
      </c>
      <c r="F344" s="5">
        <v>9</v>
      </c>
      <c r="G344" s="6" t="str">
        <f t="shared" si="5"/>
        <v>October</v>
      </c>
      <c r="H344" s="7">
        <v>45593</v>
      </c>
      <c r="I344" s="7">
        <v>45600</v>
      </c>
      <c r="J344" s="5" t="s">
        <v>16</v>
      </c>
      <c r="K344" s="5" t="s">
        <v>29</v>
      </c>
      <c r="L344" s="5">
        <v>314.73</v>
      </c>
      <c r="M344" s="8" t="s">
        <v>36</v>
      </c>
    </row>
    <row r="345" spans="1:13">
      <c r="A345" s="9" t="s">
        <v>405</v>
      </c>
      <c r="B345" s="10" t="s">
        <v>35</v>
      </c>
      <c r="C345" s="10" t="s">
        <v>15</v>
      </c>
      <c r="D345" s="10">
        <v>3450.74</v>
      </c>
      <c r="E345" s="10">
        <v>0.28000000000000003</v>
      </c>
      <c r="F345" s="10">
        <v>2</v>
      </c>
      <c r="G345" s="11" t="str">
        <f t="shared" si="5"/>
        <v>October</v>
      </c>
      <c r="H345" s="12">
        <v>45573</v>
      </c>
      <c r="I345" s="12">
        <v>45574</v>
      </c>
      <c r="J345" s="10" t="s">
        <v>42</v>
      </c>
      <c r="K345" s="10" t="s">
        <v>29</v>
      </c>
      <c r="L345" s="10">
        <v>413.97</v>
      </c>
      <c r="M345" s="13" t="s">
        <v>70</v>
      </c>
    </row>
    <row r="346" spans="1:13">
      <c r="A346" s="4" t="s">
        <v>406</v>
      </c>
      <c r="B346" s="5" t="s">
        <v>14</v>
      </c>
      <c r="C346" s="5" t="s">
        <v>52</v>
      </c>
      <c r="D346" s="5">
        <v>402.74</v>
      </c>
      <c r="E346" s="5">
        <v>0.46</v>
      </c>
      <c r="F346" s="5">
        <v>1</v>
      </c>
      <c r="G346" s="6" t="str">
        <f t="shared" si="5"/>
        <v>May</v>
      </c>
      <c r="H346" s="7">
        <v>45421</v>
      </c>
      <c r="I346" s="7">
        <v>45426</v>
      </c>
      <c r="J346" s="5" t="s">
        <v>16</v>
      </c>
      <c r="K346" s="5" t="s">
        <v>17</v>
      </c>
      <c r="L346" s="5">
        <v>46.96</v>
      </c>
      <c r="M346" s="8" t="s">
        <v>113</v>
      </c>
    </row>
    <row r="347" spans="1:13">
      <c r="A347" s="9" t="s">
        <v>407</v>
      </c>
      <c r="B347" s="10" t="s">
        <v>20</v>
      </c>
      <c r="C347" s="10" t="s">
        <v>21</v>
      </c>
      <c r="D347" s="10">
        <v>2401.7800000000002</v>
      </c>
      <c r="E347" s="10">
        <v>0.01</v>
      </c>
      <c r="F347" s="10">
        <v>8</v>
      </c>
      <c r="G347" s="11" t="str">
        <f t="shared" si="5"/>
        <v>April</v>
      </c>
      <c r="H347" s="12">
        <v>45385</v>
      </c>
      <c r="I347" s="12">
        <v>45388</v>
      </c>
      <c r="J347" s="10" t="s">
        <v>22</v>
      </c>
      <c r="K347" s="10" t="s">
        <v>17</v>
      </c>
      <c r="L347" s="10">
        <v>448.63</v>
      </c>
      <c r="M347" s="13" t="s">
        <v>77</v>
      </c>
    </row>
    <row r="348" spans="1:13">
      <c r="A348" s="4" t="s">
        <v>408</v>
      </c>
      <c r="B348" s="5" t="s">
        <v>27</v>
      </c>
      <c r="C348" s="5" t="s">
        <v>28</v>
      </c>
      <c r="D348" s="5">
        <v>1405.18</v>
      </c>
      <c r="E348" s="5">
        <v>0.2</v>
      </c>
      <c r="F348" s="5">
        <v>6</v>
      </c>
      <c r="G348" s="6" t="str">
        <f t="shared" si="5"/>
        <v>July</v>
      </c>
      <c r="H348" s="7">
        <v>45111</v>
      </c>
      <c r="I348" s="7">
        <v>45115</v>
      </c>
      <c r="J348" s="5" t="s">
        <v>22</v>
      </c>
      <c r="K348" s="5" t="s">
        <v>29</v>
      </c>
      <c r="L348" s="5">
        <v>300.73</v>
      </c>
      <c r="M348" s="8" t="s">
        <v>70</v>
      </c>
    </row>
    <row r="349" spans="1:13">
      <c r="A349" s="9" t="s">
        <v>409</v>
      </c>
      <c r="B349" s="10" t="s">
        <v>35</v>
      </c>
      <c r="C349" s="10" t="s">
        <v>15</v>
      </c>
      <c r="D349" s="10">
        <v>4745.05</v>
      </c>
      <c r="E349" s="10">
        <v>0.16</v>
      </c>
      <c r="F349" s="10">
        <v>4</v>
      </c>
      <c r="G349" s="11" t="str">
        <f t="shared" si="5"/>
        <v>December</v>
      </c>
      <c r="H349" s="12">
        <v>45655</v>
      </c>
      <c r="I349" s="12">
        <v>45661</v>
      </c>
      <c r="J349" s="10" t="s">
        <v>22</v>
      </c>
      <c r="K349" s="10" t="s">
        <v>17</v>
      </c>
      <c r="L349" s="10">
        <v>347.16</v>
      </c>
      <c r="M349" s="13" t="s">
        <v>59</v>
      </c>
    </row>
    <row r="350" spans="1:13">
      <c r="A350" s="4" t="s">
        <v>410</v>
      </c>
      <c r="B350" s="5" t="s">
        <v>14</v>
      </c>
      <c r="C350" s="5" t="s">
        <v>21</v>
      </c>
      <c r="D350" s="5">
        <v>1863.5</v>
      </c>
      <c r="E350" s="5">
        <v>0.28999999999999998</v>
      </c>
      <c r="F350" s="5">
        <v>9</v>
      </c>
      <c r="G350" s="6" t="str">
        <f t="shared" si="5"/>
        <v>June</v>
      </c>
      <c r="H350" s="7">
        <v>45093</v>
      </c>
      <c r="I350" s="7">
        <v>45100</v>
      </c>
      <c r="J350" s="5" t="s">
        <v>16</v>
      </c>
      <c r="K350" s="5" t="s">
        <v>29</v>
      </c>
      <c r="L350" s="5">
        <v>161.51</v>
      </c>
      <c r="M350" s="8" t="s">
        <v>18</v>
      </c>
    </row>
    <row r="351" spans="1:13">
      <c r="A351" s="9" t="s">
        <v>411</v>
      </c>
      <c r="B351" s="10" t="s">
        <v>20</v>
      </c>
      <c r="C351" s="10" t="s">
        <v>15</v>
      </c>
      <c r="D351" s="10">
        <v>590.61</v>
      </c>
      <c r="E351" s="10">
        <v>0</v>
      </c>
      <c r="F351" s="10">
        <v>5</v>
      </c>
      <c r="G351" s="11" t="str">
        <f t="shared" si="5"/>
        <v>November</v>
      </c>
      <c r="H351" s="12">
        <v>45233</v>
      </c>
      <c r="I351" s="12">
        <v>45240</v>
      </c>
      <c r="J351" s="10" t="s">
        <v>22</v>
      </c>
      <c r="K351" s="10" t="s">
        <v>23</v>
      </c>
      <c r="L351" s="10">
        <v>46.99</v>
      </c>
      <c r="M351" s="13" t="s">
        <v>82</v>
      </c>
    </row>
    <row r="352" spans="1:13">
      <c r="A352" s="4" t="s">
        <v>412</v>
      </c>
      <c r="B352" s="5" t="s">
        <v>27</v>
      </c>
      <c r="C352" s="5" t="s">
        <v>21</v>
      </c>
      <c r="D352" s="5">
        <v>303.31</v>
      </c>
      <c r="E352" s="5">
        <v>0.36</v>
      </c>
      <c r="F352" s="5">
        <v>1</v>
      </c>
      <c r="G352" s="6" t="str">
        <f t="shared" si="5"/>
        <v>October</v>
      </c>
      <c r="H352" s="7">
        <v>45203</v>
      </c>
      <c r="I352" s="7">
        <v>45207</v>
      </c>
      <c r="J352" s="5" t="s">
        <v>16</v>
      </c>
      <c r="K352" s="5" t="s">
        <v>17</v>
      </c>
      <c r="L352" s="5">
        <v>64.56</v>
      </c>
      <c r="M352" s="8" t="s">
        <v>30</v>
      </c>
    </row>
    <row r="353" spans="1:13">
      <c r="A353" s="9" t="s">
        <v>413</v>
      </c>
      <c r="B353" s="10" t="s">
        <v>35</v>
      </c>
      <c r="C353" s="10" t="s">
        <v>28</v>
      </c>
      <c r="D353" s="10">
        <v>1400.49</v>
      </c>
      <c r="E353" s="10">
        <v>0.24</v>
      </c>
      <c r="F353" s="10">
        <v>1</v>
      </c>
      <c r="G353" s="11" t="str">
        <f t="shared" si="5"/>
        <v>March</v>
      </c>
      <c r="H353" s="12">
        <v>45016</v>
      </c>
      <c r="I353" s="12">
        <v>45017</v>
      </c>
      <c r="J353" s="10" t="s">
        <v>22</v>
      </c>
      <c r="K353" s="10" t="s">
        <v>17</v>
      </c>
      <c r="L353" s="10">
        <v>289</v>
      </c>
      <c r="M353" s="13" t="s">
        <v>25</v>
      </c>
    </row>
    <row r="354" spans="1:13">
      <c r="A354" s="4" t="s">
        <v>414</v>
      </c>
      <c r="B354" s="5" t="s">
        <v>14</v>
      </c>
      <c r="C354" s="5" t="s">
        <v>15</v>
      </c>
      <c r="D354" s="5">
        <v>976.51</v>
      </c>
      <c r="E354" s="5">
        <v>0.35</v>
      </c>
      <c r="F354" s="5">
        <v>7</v>
      </c>
      <c r="G354" s="6" t="str">
        <f t="shared" si="5"/>
        <v>August</v>
      </c>
      <c r="H354" s="7">
        <v>45145</v>
      </c>
      <c r="I354" s="7">
        <v>45146</v>
      </c>
      <c r="J354" s="5" t="s">
        <v>22</v>
      </c>
      <c r="K354" s="5" t="s">
        <v>29</v>
      </c>
      <c r="L354" s="5">
        <v>251.49</v>
      </c>
      <c r="M354" s="8" t="s">
        <v>74</v>
      </c>
    </row>
    <row r="355" spans="1:13">
      <c r="A355" s="9" t="s">
        <v>415</v>
      </c>
      <c r="B355" s="10" t="s">
        <v>20</v>
      </c>
      <c r="C355" s="10" t="s">
        <v>21</v>
      </c>
      <c r="D355" s="10">
        <v>3284.02</v>
      </c>
      <c r="E355" s="10">
        <v>0.22</v>
      </c>
      <c r="F355" s="10">
        <v>1</v>
      </c>
      <c r="G355" s="11" t="str">
        <f t="shared" si="5"/>
        <v>March</v>
      </c>
      <c r="H355" s="12">
        <v>45367</v>
      </c>
      <c r="I355" s="12">
        <v>45371</v>
      </c>
      <c r="J355" s="10" t="s">
        <v>16</v>
      </c>
      <c r="K355" s="10" t="s">
        <v>29</v>
      </c>
      <c r="L355" s="10">
        <v>399.43</v>
      </c>
      <c r="M355" s="13" t="s">
        <v>118</v>
      </c>
    </row>
    <row r="356" spans="1:13">
      <c r="A356" s="4" t="s">
        <v>416</v>
      </c>
      <c r="B356" s="5" t="s">
        <v>27</v>
      </c>
      <c r="C356" s="5" t="s">
        <v>28</v>
      </c>
      <c r="D356" s="5">
        <v>4250.1400000000003</v>
      </c>
      <c r="E356" s="5">
        <v>0.24</v>
      </c>
      <c r="F356" s="5">
        <v>6</v>
      </c>
      <c r="G356" s="6" t="str">
        <f t="shared" si="5"/>
        <v>November</v>
      </c>
      <c r="H356" s="7">
        <v>45617</v>
      </c>
      <c r="I356" s="7">
        <v>45619</v>
      </c>
      <c r="J356" s="5" t="s">
        <v>16</v>
      </c>
      <c r="K356" s="5" t="s">
        <v>17</v>
      </c>
      <c r="L356" s="5">
        <v>990.91</v>
      </c>
      <c r="M356" s="8" t="s">
        <v>118</v>
      </c>
    </row>
    <row r="357" spans="1:13">
      <c r="A357" s="9" t="s">
        <v>417</v>
      </c>
      <c r="B357" s="10" t="s">
        <v>35</v>
      </c>
      <c r="C357" s="10" t="s">
        <v>52</v>
      </c>
      <c r="D357" s="10">
        <v>1631.54</v>
      </c>
      <c r="E357" s="10">
        <v>0.45</v>
      </c>
      <c r="F357" s="10">
        <v>7</v>
      </c>
      <c r="G357" s="11" t="str">
        <f t="shared" si="5"/>
        <v>September</v>
      </c>
      <c r="H357" s="12">
        <v>45547</v>
      </c>
      <c r="I357" s="12">
        <v>45551</v>
      </c>
      <c r="J357" s="10" t="s">
        <v>16</v>
      </c>
      <c r="K357" s="10" t="s">
        <v>23</v>
      </c>
      <c r="L357" s="10">
        <v>197.89</v>
      </c>
      <c r="M357" s="13" t="s">
        <v>113</v>
      </c>
    </row>
    <row r="358" spans="1:13">
      <c r="A358" s="4" t="s">
        <v>418</v>
      </c>
      <c r="B358" s="5" t="s">
        <v>14</v>
      </c>
      <c r="C358" s="5" t="s">
        <v>28</v>
      </c>
      <c r="D358" s="5">
        <v>2931.18</v>
      </c>
      <c r="E358" s="5">
        <v>0.11</v>
      </c>
      <c r="F358" s="5">
        <v>5</v>
      </c>
      <c r="G358" s="6" t="str">
        <f t="shared" si="5"/>
        <v>September</v>
      </c>
      <c r="H358" s="7">
        <v>45555</v>
      </c>
      <c r="I358" s="7">
        <v>45558</v>
      </c>
      <c r="J358" s="5" t="s">
        <v>16</v>
      </c>
      <c r="K358" s="5" t="s">
        <v>17</v>
      </c>
      <c r="L358" s="5">
        <v>697.38</v>
      </c>
      <c r="M358" s="8" t="s">
        <v>70</v>
      </c>
    </row>
    <row r="359" spans="1:13">
      <c r="A359" s="9" t="s">
        <v>419</v>
      </c>
      <c r="B359" s="10" t="s">
        <v>20</v>
      </c>
      <c r="C359" s="10" t="s">
        <v>28</v>
      </c>
      <c r="D359" s="10">
        <v>3678.5</v>
      </c>
      <c r="E359" s="10">
        <v>0.11</v>
      </c>
      <c r="F359" s="10">
        <v>3</v>
      </c>
      <c r="G359" s="11" t="str">
        <f t="shared" si="5"/>
        <v>February</v>
      </c>
      <c r="H359" s="12">
        <v>45324</v>
      </c>
      <c r="I359" s="12">
        <v>45329</v>
      </c>
      <c r="J359" s="10" t="s">
        <v>22</v>
      </c>
      <c r="K359" s="10" t="s">
        <v>17</v>
      </c>
      <c r="L359" s="10">
        <v>743.04</v>
      </c>
      <c r="M359" s="13" t="s">
        <v>30</v>
      </c>
    </row>
    <row r="360" spans="1:13">
      <c r="A360" s="4" t="s">
        <v>420</v>
      </c>
      <c r="B360" s="5" t="s">
        <v>27</v>
      </c>
      <c r="C360" s="5" t="s">
        <v>52</v>
      </c>
      <c r="D360" s="5">
        <v>2052.59</v>
      </c>
      <c r="E360" s="5">
        <v>0.28000000000000003</v>
      </c>
      <c r="F360" s="5">
        <v>3</v>
      </c>
      <c r="G360" s="6" t="str">
        <f t="shared" si="5"/>
        <v>April</v>
      </c>
      <c r="H360" s="7">
        <v>45397</v>
      </c>
      <c r="I360" s="7">
        <v>45399</v>
      </c>
      <c r="J360" s="5" t="s">
        <v>22</v>
      </c>
      <c r="K360" s="5" t="s">
        <v>17</v>
      </c>
      <c r="L360" s="5">
        <v>315.05</v>
      </c>
      <c r="M360" s="8" t="s">
        <v>25</v>
      </c>
    </row>
    <row r="361" spans="1:13">
      <c r="A361" s="9" t="s">
        <v>421</v>
      </c>
      <c r="B361" s="10" t="s">
        <v>35</v>
      </c>
      <c r="C361" s="10" t="s">
        <v>28</v>
      </c>
      <c r="D361" s="10">
        <v>425</v>
      </c>
      <c r="E361" s="10">
        <v>0.33</v>
      </c>
      <c r="F361" s="10">
        <v>2</v>
      </c>
      <c r="G361" s="11" t="str">
        <f t="shared" si="5"/>
        <v>February</v>
      </c>
      <c r="H361" s="12">
        <v>45336</v>
      </c>
      <c r="I361" s="12">
        <v>45343</v>
      </c>
      <c r="J361" s="10" t="s">
        <v>42</v>
      </c>
      <c r="K361" s="10" t="s">
        <v>23</v>
      </c>
      <c r="L361" s="10">
        <v>88.73</v>
      </c>
      <c r="M361" s="13" t="s">
        <v>118</v>
      </c>
    </row>
    <row r="362" spans="1:13">
      <c r="A362" s="4" t="s">
        <v>422</v>
      </c>
      <c r="B362" s="5" t="s">
        <v>14</v>
      </c>
      <c r="C362" s="5" t="s">
        <v>52</v>
      </c>
      <c r="D362" s="5">
        <v>1223.01</v>
      </c>
      <c r="E362" s="5">
        <v>0.18</v>
      </c>
      <c r="F362" s="5">
        <v>1</v>
      </c>
      <c r="G362" s="6" t="str">
        <f t="shared" si="5"/>
        <v>September</v>
      </c>
      <c r="H362" s="7">
        <v>45544</v>
      </c>
      <c r="I362" s="7">
        <v>45548</v>
      </c>
      <c r="J362" s="5" t="s">
        <v>22</v>
      </c>
      <c r="K362" s="5" t="s">
        <v>23</v>
      </c>
      <c r="L362" s="5">
        <v>319.61</v>
      </c>
      <c r="M362" s="8" t="s">
        <v>74</v>
      </c>
    </row>
    <row r="363" spans="1:13">
      <c r="A363" s="9" t="s">
        <v>423</v>
      </c>
      <c r="B363" s="10" t="s">
        <v>20</v>
      </c>
      <c r="C363" s="10" t="s">
        <v>52</v>
      </c>
      <c r="D363" s="10">
        <v>4427.0200000000004</v>
      </c>
      <c r="E363" s="10">
        <v>0.26</v>
      </c>
      <c r="F363" s="10">
        <v>8</v>
      </c>
      <c r="G363" s="11" t="str">
        <f t="shared" si="5"/>
        <v>October</v>
      </c>
      <c r="H363" s="12">
        <v>45210</v>
      </c>
      <c r="I363" s="12">
        <v>45215</v>
      </c>
      <c r="J363" s="10" t="s">
        <v>22</v>
      </c>
      <c r="K363" s="10" t="s">
        <v>29</v>
      </c>
      <c r="L363" s="10">
        <v>466.97</v>
      </c>
      <c r="M363" s="13" t="s">
        <v>30</v>
      </c>
    </row>
    <row r="364" spans="1:13">
      <c r="A364" s="4" t="s">
        <v>424</v>
      </c>
      <c r="B364" s="5" t="s">
        <v>27</v>
      </c>
      <c r="C364" s="5" t="s">
        <v>52</v>
      </c>
      <c r="D364" s="5">
        <v>4139.95</v>
      </c>
      <c r="E364" s="5">
        <v>0.11</v>
      </c>
      <c r="F364" s="5">
        <v>9</v>
      </c>
      <c r="G364" s="6" t="str">
        <f t="shared" si="5"/>
        <v>August</v>
      </c>
      <c r="H364" s="7">
        <v>45157</v>
      </c>
      <c r="I364" s="7">
        <v>45163</v>
      </c>
      <c r="J364" s="5" t="s">
        <v>22</v>
      </c>
      <c r="K364" s="5" t="s">
        <v>17</v>
      </c>
      <c r="L364" s="5">
        <v>843.52</v>
      </c>
      <c r="M364" s="8" t="s">
        <v>82</v>
      </c>
    </row>
    <row r="365" spans="1:13">
      <c r="A365" s="9" t="s">
        <v>425</v>
      </c>
      <c r="B365" s="10" t="s">
        <v>35</v>
      </c>
      <c r="C365" s="10" t="s">
        <v>21</v>
      </c>
      <c r="D365" s="10">
        <v>524.01</v>
      </c>
      <c r="E365" s="10">
        <v>7.0000000000000007E-2</v>
      </c>
      <c r="F365" s="10">
        <v>2</v>
      </c>
      <c r="G365" s="11" t="str">
        <f t="shared" si="5"/>
        <v>October</v>
      </c>
      <c r="H365" s="12">
        <v>45585</v>
      </c>
      <c r="I365" s="12">
        <v>45586</v>
      </c>
      <c r="J365" s="10" t="s">
        <v>22</v>
      </c>
      <c r="K365" s="10" t="s">
        <v>29</v>
      </c>
      <c r="L365" s="10">
        <v>156.33000000000001</v>
      </c>
      <c r="M365" s="13" t="s">
        <v>24</v>
      </c>
    </row>
    <row r="366" spans="1:13">
      <c r="A366" s="4" t="s">
        <v>426</v>
      </c>
      <c r="B366" s="5" t="s">
        <v>14</v>
      </c>
      <c r="C366" s="5" t="s">
        <v>15</v>
      </c>
      <c r="D366" s="5">
        <v>1197.3499999999999</v>
      </c>
      <c r="E366" s="5">
        <v>0.12</v>
      </c>
      <c r="F366" s="5">
        <v>4</v>
      </c>
      <c r="G366" s="6" t="str">
        <f t="shared" si="5"/>
        <v>January</v>
      </c>
      <c r="H366" s="7">
        <v>44947</v>
      </c>
      <c r="I366" s="7">
        <v>44953</v>
      </c>
      <c r="J366" s="5" t="s">
        <v>22</v>
      </c>
      <c r="K366" s="5" t="s">
        <v>23</v>
      </c>
      <c r="L366" s="5">
        <v>298.56</v>
      </c>
      <c r="M366" s="8" t="s">
        <v>30</v>
      </c>
    </row>
    <row r="367" spans="1:13">
      <c r="A367" s="9" t="s">
        <v>427</v>
      </c>
      <c r="B367" s="10" t="s">
        <v>20</v>
      </c>
      <c r="C367" s="10" t="s">
        <v>21</v>
      </c>
      <c r="D367" s="10">
        <v>3868.91</v>
      </c>
      <c r="E367" s="10">
        <v>0.46</v>
      </c>
      <c r="F367" s="10">
        <v>3</v>
      </c>
      <c r="G367" s="11" t="str">
        <f t="shared" si="5"/>
        <v>October</v>
      </c>
      <c r="H367" s="12">
        <v>45202</v>
      </c>
      <c r="I367" s="12">
        <v>45206</v>
      </c>
      <c r="J367" s="10" t="s">
        <v>42</v>
      </c>
      <c r="K367" s="10" t="s">
        <v>17</v>
      </c>
      <c r="L367" s="10">
        <v>482.97</v>
      </c>
      <c r="M367" s="13" t="s">
        <v>113</v>
      </c>
    </row>
    <row r="368" spans="1:13">
      <c r="A368" s="4" t="s">
        <v>428</v>
      </c>
      <c r="B368" s="5" t="s">
        <v>27</v>
      </c>
      <c r="C368" s="5" t="s">
        <v>52</v>
      </c>
      <c r="D368" s="5">
        <v>2480.9</v>
      </c>
      <c r="E368" s="5">
        <v>0.4</v>
      </c>
      <c r="F368" s="5">
        <v>4</v>
      </c>
      <c r="G368" s="6" t="str">
        <f t="shared" si="5"/>
        <v>April</v>
      </c>
      <c r="H368" s="7">
        <v>45405</v>
      </c>
      <c r="I368" s="7">
        <v>45407</v>
      </c>
      <c r="J368" s="5" t="s">
        <v>16</v>
      </c>
      <c r="K368" s="5" t="s">
        <v>17</v>
      </c>
      <c r="L368" s="5">
        <v>610.64</v>
      </c>
      <c r="M368" s="8" t="s">
        <v>77</v>
      </c>
    </row>
    <row r="369" spans="1:13">
      <c r="A369" s="9" t="s">
        <v>429</v>
      </c>
      <c r="B369" s="10" t="s">
        <v>35</v>
      </c>
      <c r="C369" s="10" t="s">
        <v>15</v>
      </c>
      <c r="D369" s="10">
        <v>3823.84</v>
      </c>
      <c r="E369" s="10">
        <v>7.0000000000000007E-2</v>
      </c>
      <c r="F369" s="10">
        <v>4</v>
      </c>
      <c r="G369" s="11" t="str">
        <f t="shared" si="5"/>
        <v>December</v>
      </c>
      <c r="H369" s="12">
        <v>45273</v>
      </c>
      <c r="I369" s="12">
        <v>45276</v>
      </c>
      <c r="J369" s="10" t="s">
        <v>22</v>
      </c>
      <c r="K369" s="10" t="s">
        <v>17</v>
      </c>
      <c r="L369" s="10">
        <v>664.27</v>
      </c>
      <c r="M369" s="13" t="s">
        <v>82</v>
      </c>
    </row>
    <row r="370" spans="1:13">
      <c r="A370" s="4" t="s">
        <v>430</v>
      </c>
      <c r="B370" s="5" t="s">
        <v>14</v>
      </c>
      <c r="C370" s="5" t="s">
        <v>15</v>
      </c>
      <c r="D370" s="5">
        <v>1134.3499999999999</v>
      </c>
      <c r="E370" s="5">
        <v>0.02</v>
      </c>
      <c r="F370" s="5">
        <v>8</v>
      </c>
      <c r="G370" s="6" t="str">
        <f t="shared" si="5"/>
        <v>June</v>
      </c>
      <c r="H370" s="7">
        <v>45098</v>
      </c>
      <c r="I370" s="7">
        <v>45103</v>
      </c>
      <c r="J370" s="5" t="s">
        <v>22</v>
      </c>
      <c r="K370" s="5" t="s">
        <v>17</v>
      </c>
      <c r="L370" s="5">
        <v>278.14999999999998</v>
      </c>
      <c r="M370" s="8" t="s">
        <v>74</v>
      </c>
    </row>
    <row r="371" spans="1:13">
      <c r="A371" s="9" t="s">
        <v>431</v>
      </c>
      <c r="B371" s="10" t="s">
        <v>20</v>
      </c>
      <c r="C371" s="10" t="s">
        <v>52</v>
      </c>
      <c r="D371" s="10">
        <v>4768.22</v>
      </c>
      <c r="E371" s="10">
        <v>0.05</v>
      </c>
      <c r="F371" s="10">
        <v>3</v>
      </c>
      <c r="G371" s="11" t="str">
        <f t="shared" si="5"/>
        <v>June</v>
      </c>
      <c r="H371" s="12">
        <v>45469</v>
      </c>
      <c r="I371" s="12">
        <v>45475</v>
      </c>
      <c r="J371" s="10" t="s">
        <v>16</v>
      </c>
      <c r="K371" s="10" t="s">
        <v>29</v>
      </c>
      <c r="L371" s="10">
        <v>354.91</v>
      </c>
      <c r="M371" s="13" t="s">
        <v>84</v>
      </c>
    </row>
    <row r="372" spans="1:13">
      <c r="A372" s="4" t="s">
        <v>432</v>
      </c>
      <c r="B372" s="5" t="s">
        <v>27</v>
      </c>
      <c r="C372" s="5" t="s">
        <v>15</v>
      </c>
      <c r="D372" s="5">
        <v>3939.68</v>
      </c>
      <c r="E372" s="5">
        <v>0.15</v>
      </c>
      <c r="F372" s="5">
        <v>3</v>
      </c>
      <c r="G372" s="6" t="str">
        <f t="shared" si="5"/>
        <v>January</v>
      </c>
      <c r="H372" s="7">
        <v>44935</v>
      </c>
      <c r="I372" s="7">
        <v>44942</v>
      </c>
      <c r="J372" s="5" t="s">
        <v>16</v>
      </c>
      <c r="K372" s="5" t="s">
        <v>17</v>
      </c>
      <c r="L372" s="5">
        <v>1039.42</v>
      </c>
      <c r="M372" s="8" t="s">
        <v>87</v>
      </c>
    </row>
    <row r="373" spans="1:13">
      <c r="A373" s="9" t="s">
        <v>433</v>
      </c>
      <c r="B373" s="10" t="s">
        <v>35</v>
      </c>
      <c r="C373" s="10" t="s">
        <v>15</v>
      </c>
      <c r="D373" s="10">
        <v>1067.52</v>
      </c>
      <c r="E373" s="10">
        <v>0.41</v>
      </c>
      <c r="F373" s="10">
        <v>6</v>
      </c>
      <c r="G373" s="11" t="str">
        <f t="shared" si="5"/>
        <v>June</v>
      </c>
      <c r="H373" s="12">
        <v>45470</v>
      </c>
      <c r="I373" s="12">
        <v>45475</v>
      </c>
      <c r="J373" s="10" t="s">
        <v>42</v>
      </c>
      <c r="K373" s="10" t="s">
        <v>23</v>
      </c>
      <c r="L373" s="10">
        <v>318.77</v>
      </c>
      <c r="M373" s="13" t="s">
        <v>56</v>
      </c>
    </row>
    <row r="374" spans="1:13">
      <c r="A374" s="4" t="s">
        <v>434</v>
      </c>
      <c r="B374" s="5" t="s">
        <v>14</v>
      </c>
      <c r="C374" s="5" t="s">
        <v>21</v>
      </c>
      <c r="D374" s="5">
        <v>2836.4</v>
      </c>
      <c r="E374" s="5">
        <v>0.16</v>
      </c>
      <c r="F374" s="5">
        <v>3</v>
      </c>
      <c r="G374" s="6" t="str">
        <f t="shared" si="5"/>
        <v>July</v>
      </c>
      <c r="H374" s="7">
        <v>45128</v>
      </c>
      <c r="I374" s="7">
        <v>45132</v>
      </c>
      <c r="J374" s="5" t="s">
        <v>42</v>
      </c>
      <c r="K374" s="5" t="s">
        <v>29</v>
      </c>
      <c r="L374" s="5">
        <v>455.08</v>
      </c>
      <c r="M374" s="8" t="s">
        <v>18</v>
      </c>
    </row>
    <row r="375" spans="1:13">
      <c r="A375" s="9" t="s">
        <v>435</v>
      </c>
      <c r="B375" s="10" t="s">
        <v>20</v>
      </c>
      <c r="C375" s="10" t="s">
        <v>15</v>
      </c>
      <c r="D375" s="10">
        <v>654.17999999999995</v>
      </c>
      <c r="E375" s="10">
        <v>0.09</v>
      </c>
      <c r="F375" s="10">
        <v>5</v>
      </c>
      <c r="G375" s="11" t="str">
        <f t="shared" si="5"/>
        <v>June</v>
      </c>
      <c r="H375" s="12">
        <v>45106</v>
      </c>
      <c r="I375" s="12">
        <v>45109</v>
      </c>
      <c r="J375" s="10" t="s">
        <v>42</v>
      </c>
      <c r="K375" s="10" t="s">
        <v>17</v>
      </c>
      <c r="L375" s="10">
        <v>116.53</v>
      </c>
      <c r="M375" s="13" t="s">
        <v>37</v>
      </c>
    </row>
    <row r="376" spans="1:13">
      <c r="A376" s="4" t="s">
        <v>436</v>
      </c>
      <c r="B376" s="5" t="s">
        <v>27</v>
      </c>
      <c r="C376" s="5" t="s">
        <v>52</v>
      </c>
      <c r="D376" s="5">
        <v>1871.03</v>
      </c>
      <c r="E376" s="5">
        <v>0.2</v>
      </c>
      <c r="F376" s="5">
        <v>4</v>
      </c>
      <c r="G376" s="6" t="str">
        <f t="shared" si="5"/>
        <v>December</v>
      </c>
      <c r="H376" s="7">
        <v>45635</v>
      </c>
      <c r="I376" s="7">
        <v>45638</v>
      </c>
      <c r="J376" s="5" t="s">
        <v>16</v>
      </c>
      <c r="K376" s="5" t="s">
        <v>29</v>
      </c>
      <c r="L376" s="5">
        <v>181.06</v>
      </c>
      <c r="M376" s="8" t="s">
        <v>118</v>
      </c>
    </row>
    <row r="377" spans="1:13">
      <c r="A377" s="9" t="s">
        <v>437</v>
      </c>
      <c r="B377" s="10" t="s">
        <v>35</v>
      </c>
      <c r="C377" s="10" t="s">
        <v>47</v>
      </c>
      <c r="D377" s="10">
        <v>3332.14</v>
      </c>
      <c r="E377" s="10">
        <v>0.06</v>
      </c>
      <c r="F377" s="10">
        <v>4</v>
      </c>
      <c r="G377" s="11" t="str">
        <f t="shared" si="5"/>
        <v>December</v>
      </c>
      <c r="H377" s="12">
        <v>45643</v>
      </c>
      <c r="I377" s="12">
        <v>45644</v>
      </c>
      <c r="J377" s="10" t="s">
        <v>22</v>
      </c>
      <c r="K377" s="10" t="s">
        <v>29</v>
      </c>
      <c r="L377" s="10">
        <v>736.04</v>
      </c>
      <c r="M377" s="13" t="s">
        <v>84</v>
      </c>
    </row>
    <row r="378" spans="1:13">
      <c r="A378" s="4" t="s">
        <v>438</v>
      </c>
      <c r="B378" s="5" t="s">
        <v>14</v>
      </c>
      <c r="C378" s="5" t="s">
        <v>47</v>
      </c>
      <c r="D378" s="5">
        <v>1717.63</v>
      </c>
      <c r="E378" s="5">
        <v>0.24</v>
      </c>
      <c r="F378" s="5">
        <v>2</v>
      </c>
      <c r="G378" s="6" t="str">
        <f t="shared" si="5"/>
        <v>June</v>
      </c>
      <c r="H378" s="7">
        <v>45465</v>
      </c>
      <c r="I378" s="7">
        <v>45469</v>
      </c>
      <c r="J378" s="5" t="s">
        <v>16</v>
      </c>
      <c r="K378" s="5" t="s">
        <v>17</v>
      </c>
      <c r="L378" s="5">
        <v>119.18</v>
      </c>
      <c r="M378" s="8" t="s">
        <v>56</v>
      </c>
    </row>
    <row r="379" spans="1:13">
      <c r="A379" s="9" t="s">
        <v>439</v>
      </c>
      <c r="B379" s="10" t="s">
        <v>20</v>
      </c>
      <c r="C379" s="10" t="s">
        <v>47</v>
      </c>
      <c r="D379" s="10">
        <v>3318.12</v>
      </c>
      <c r="E379" s="10">
        <v>0.34</v>
      </c>
      <c r="F379" s="10">
        <v>9</v>
      </c>
      <c r="G379" s="11" t="str">
        <f t="shared" si="5"/>
        <v>May</v>
      </c>
      <c r="H379" s="12">
        <v>45440</v>
      </c>
      <c r="I379" s="12">
        <v>45446</v>
      </c>
      <c r="J379" s="10" t="s">
        <v>22</v>
      </c>
      <c r="K379" s="10" t="s">
        <v>23</v>
      </c>
      <c r="L379" s="10">
        <v>635.94000000000005</v>
      </c>
      <c r="M379" s="13" t="s">
        <v>63</v>
      </c>
    </row>
    <row r="380" spans="1:13">
      <c r="A380" s="4" t="s">
        <v>440</v>
      </c>
      <c r="B380" s="5" t="s">
        <v>27</v>
      </c>
      <c r="C380" s="5" t="s">
        <v>52</v>
      </c>
      <c r="D380" s="5">
        <v>1299.42</v>
      </c>
      <c r="E380" s="5">
        <v>0.18</v>
      </c>
      <c r="F380" s="5">
        <v>5</v>
      </c>
      <c r="G380" s="6" t="str">
        <f t="shared" si="5"/>
        <v>January</v>
      </c>
      <c r="H380" s="7">
        <v>45309</v>
      </c>
      <c r="I380" s="7">
        <v>45316</v>
      </c>
      <c r="J380" s="5" t="s">
        <v>16</v>
      </c>
      <c r="K380" s="5" t="s">
        <v>17</v>
      </c>
      <c r="L380" s="5">
        <v>200.91</v>
      </c>
      <c r="M380" s="8" t="s">
        <v>84</v>
      </c>
    </row>
    <row r="381" spans="1:13">
      <c r="A381" s="9" t="s">
        <v>441</v>
      </c>
      <c r="B381" s="10" t="s">
        <v>35</v>
      </c>
      <c r="C381" s="10" t="s">
        <v>47</v>
      </c>
      <c r="D381" s="10">
        <v>3633.91</v>
      </c>
      <c r="E381" s="10">
        <v>0.09</v>
      </c>
      <c r="F381" s="10">
        <v>5</v>
      </c>
      <c r="G381" s="11" t="str">
        <f t="shared" si="5"/>
        <v>January</v>
      </c>
      <c r="H381" s="12">
        <v>45320</v>
      </c>
      <c r="I381" s="12">
        <v>45325</v>
      </c>
      <c r="J381" s="10" t="s">
        <v>16</v>
      </c>
      <c r="K381" s="10" t="s">
        <v>17</v>
      </c>
      <c r="L381" s="10">
        <v>363.37</v>
      </c>
      <c r="M381" s="13" t="s">
        <v>84</v>
      </c>
    </row>
    <row r="382" spans="1:13">
      <c r="A382" s="4" t="s">
        <v>442</v>
      </c>
      <c r="B382" s="5" t="s">
        <v>14</v>
      </c>
      <c r="C382" s="5" t="s">
        <v>21</v>
      </c>
      <c r="D382" s="5">
        <v>1861.99</v>
      </c>
      <c r="E382" s="5">
        <v>0.23</v>
      </c>
      <c r="F382" s="5">
        <v>7</v>
      </c>
      <c r="G382" s="6" t="str">
        <f t="shared" si="5"/>
        <v>August</v>
      </c>
      <c r="H382" s="7">
        <v>45507</v>
      </c>
      <c r="I382" s="7">
        <v>45508</v>
      </c>
      <c r="J382" s="5" t="s">
        <v>16</v>
      </c>
      <c r="K382" s="5" t="s">
        <v>23</v>
      </c>
      <c r="L382" s="5">
        <v>477.12</v>
      </c>
      <c r="M382" s="8" t="s">
        <v>37</v>
      </c>
    </row>
    <row r="383" spans="1:13">
      <c r="A383" s="9" t="s">
        <v>443</v>
      </c>
      <c r="B383" s="10" t="s">
        <v>20</v>
      </c>
      <c r="C383" s="10" t="s">
        <v>52</v>
      </c>
      <c r="D383" s="10">
        <v>3973.36</v>
      </c>
      <c r="E383" s="10">
        <v>0.38</v>
      </c>
      <c r="F383" s="10">
        <v>3</v>
      </c>
      <c r="G383" s="11" t="str">
        <f t="shared" si="5"/>
        <v>December</v>
      </c>
      <c r="H383" s="12">
        <v>45632</v>
      </c>
      <c r="I383" s="12">
        <v>45637</v>
      </c>
      <c r="J383" s="10" t="s">
        <v>16</v>
      </c>
      <c r="K383" s="10" t="s">
        <v>17</v>
      </c>
      <c r="L383" s="10">
        <v>944.78</v>
      </c>
      <c r="M383" s="13" t="s">
        <v>25</v>
      </c>
    </row>
    <row r="384" spans="1:13">
      <c r="A384" s="4" t="s">
        <v>444</v>
      </c>
      <c r="B384" s="5" t="s">
        <v>27</v>
      </c>
      <c r="C384" s="5" t="s">
        <v>52</v>
      </c>
      <c r="D384" s="5">
        <v>769.78</v>
      </c>
      <c r="E384" s="5">
        <v>0.04</v>
      </c>
      <c r="F384" s="5">
        <v>6</v>
      </c>
      <c r="G384" s="6" t="str">
        <f t="shared" si="5"/>
        <v>September</v>
      </c>
      <c r="H384" s="7">
        <v>45172</v>
      </c>
      <c r="I384" s="7">
        <v>45178</v>
      </c>
      <c r="J384" s="5" t="s">
        <v>22</v>
      </c>
      <c r="K384" s="5" t="s">
        <v>23</v>
      </c>
      <c r="L384" s="5">
        <v>96.16</v>
      </c>
      <c r="M384" s="8" t="s">
        <v>54</v>
      </c>
    </row>
    <row r="385" spans="1:13">
      <c r="A385" s="9" t="s">
        <v>445</v>
      </c>
      <c r="B385" s="10" t="s">
        <v>35</v>
      </c>
      <c r="C385" s="10" t="s">
        <v>52</v>
      </c>
      <c r="D385" s="10">
        <v>1873.69</v>
      </c>
      <c r="E385" s="10">
        <v>0.04</v>
      </c>
      <c r="F385" s="10">
        <v>1</v>
      </c>
      <c r="G385" s="11" t="str">
        <f t="shared" si="5"/>
        <v>February</v>
      </c>
      <c r="H385" s="12">
        <v>45351</v>
      </c>
      <c r="I385" s="12">
        <v>45352</v>
      </c>
      <c r="J385" s="10" t="s">
        <v>22</v>
      </c>
      <c r="K385" s="10" t="s">
        <v>29</v>
      </c>
      <c r="L385" s="10">
        <v>274.62</v>
      </c>
      <c r="M385" s="13" t="s">
        <v>74</v>
      </c>
    </row>
    <row r="386" spans="1:13">
      <c r="A386" s="4" t="s">
        <v>446</v>
      </c>
      <c r="B386" s="5" t="s">
        <v>14</v>
      </c>
      <c r="C386" s="5" t="s">
        <v>15</v>
      </c>
      <c r="D386" s="5">
        <v>2373.27</v>
      </c>
      <c r="E386" s="5">
        <v>0.16</v>
      </c>
      <c r="F386" s="5">
        <v>5</v>
      </c>
      <c r="G386" s="6" t="str">
        <f t="shared" ref="G386:G449" si="6">TEXT(H386,"mmmm")</f>
        <v>October</v>
      </c>
      <c r="H386" s="7">
        <v>45230</v>
      </c>
      <c r="I386" s="7">
        <v>45236</v>
      </c>
      <c r="J386" s="5" t="s">
        <v>22</v>
      </c>
      <c r="K386" s="5" t="s">
        <v>23</v>
      </c>
      <c r="L386" s="5">
        <v>268.52999999999997</v>
      </c>
      <c r="M386" s="8" t="s">
        <v>18</v>
      </c>
    </row>
    <row r="387" spans="1:13">
      <c r="A387" s="9" t="s">
        <v>447</v>
      </c>
      <c r="B387" s="10" t="s">
        <v>20</v>
      </c>
      <c r="C387" s="10" t="s">
        <v>15</v>
      </c>
      <c r="D387" s="10">
        <v>2176.84</v>
      </c>
      <c r="E387" s="10">
        <v>0.21</v>
      </c>
      <c r="F387" s="10">
        <v>5</v>
      </c>
      <c r="G387" s="11" t="str">
        <f t="shared" si="6"/>
        <v>April</v>
      </c>
      <c r="H387" s="12">
        <v>45042</v>
      </c>
      <c r="I387" s="12">
        <v>45046</v>
      </c>
      <c r="J387" s="10" t="s">
        <v>22</v>
      </c>
      <c r="K387" s="10" t="s">
        <v>29</v>
      </c>
      <c r="L387" s="10">
        <v>223.02</v>
      </c>
      <c r="M387" s="13" t="s">
        <v>25</v>
      </c>
    </row>
    <row r="388" spans="1:13">
      <c r="A388" s="4" t="s">
        <v>448</v>
      </c>
      <c r="B388" s="5" t="s">
        <v>27</v>
      </c>
      <c r="C388" s="5" t="s">
        <v>15</v>
      </c>
      <c r="D388" s="5">
        <v>2222.16</v>
      </c>
      <c r="E388" s="5">
        <v>0.11</v>
      </c>
      <c r="F388" s="5">
        <v>9</v>
      </c>
      <c r="G388" s="6" t="str">
        <f t="shared" si="6"/>
        <v>April</v>
      </c>
      <c r="H388" s="7">
        <v>45043</v>
      </c>
      <c r="I388" s="7">
        <v>45049</v>
      </c>
      <c r="J388" s="5" t="s">
        <v>42</v>
      </c>
      <c r="K388" s="5" t="s">
        <v>23</v>
      </c>
      <c r="L388" s="5">
        <v>234.09</v>
      </c>
      <c r="M388" s="8" t="s">
        <v>18</v>
      </c>
    </row>
    <row r="389" spans="1:13">
      <c r="A389" s="9" t="s">
        <v>449</v>
      </c>
      <c r="B389" s="10" t="s">
        <v>35</v>
      </c>
      <c r="C389" s="10" t="s">
        <v>28</v>
      </c>
      <c r="D389" s="10">
        <v>2279.54</v>
      </c>
      <c r="E389" s="10">
        <v>0.01</v>
      </c>
      <c r="F389" s="10">
        <v>5</v>
      </c>
      <c r="G389" s="11" t="str">
        <f t="shared" si="6"/>
        <v>March</v>
      </c>
      <c r="H389" s="12">
        <v>45358</v>
      </c>
      <c r="I389" s="12">
        <v>45359</v>
      </c>
      <c r="J389" s="10" t="s">
        <v>42</v>
      </c>
      <c r="K389" s="10" t="s">
        <v>29</v>
      </c>
      <c r="L389" s="10">
        <v>190.23</v>
      </c>
      <c r="M389" s="13" t="s">
        <v>36</v>
      </c>
    </row>
    <row r="390" spans="1:13">
      <c r="A390" s="4" t="s">
        <v>450</v>
      </c>
      <c r="B390" s="5" t="s">
        <v>14</v>
      </c>
      <c r="C390" s="5" t="s">
        <v>21</v>
      </c>
      <c r="D390" s="5">
        <v>4945.1400000000003</v>
      </c>
      <c r="E390" s="5">
        <v>0.11</v>
      </c>
      <c r="F390" s="5">
        <v>8</v>
      </c>
      <c r="G390" s="6" t="str">
        <f t="shared" si="6"/>
        <v>May</v>
      </c>
      <c r="H390" s="7">
        <v>45051</v>
      </c>
      <c r="I390" s="7">
        <v>45052</v>
      </c>
      <c r="J390" s="5" t="s">
        <v>16</v>
      </c>
      <c r="K390" s="5" t="s">
        <v>23</v>
      </c>
      <c r="L390" s="5">
        <v>666.29</v>
      </c>
      <c r="M390" s="8" t="s">
        <v>113</v>
      </c>
    </row>
    <row r="391" spans="1:13">
      <c r="A391" s="9" t="s">
        <v>451</v>
      </c>
      <c r="B391" s="10" t="s">
        <v>20</v>
      </c>
      <c r="C391" s="10" t="s">
        <v>52</v>
      </c>
      <c r="D391" s="10">
        <v>1046.47</v>
      </c>
      <c r="E391" s="10">
        <v>0.22</v>
      </c>
      <c r="F391" s="10">
        <v>3</v>
      </c>
      <c r="G391" s="11" t="str">
        <f t="shared" si="6"/>
        <v>February</v>
      </c>
      <c r="H391" s="12">
        <v>44959</v>
      </c>
      <c r="I391" s="12">
        <v>44962</v>
      </c>
      <c r="J391" s="10" t="s">
        <v>22</v>
      </c>
      <c r="K391" s="10" t="s">
        <v>29</v>
      </c>
      <c r="L391" s="10">
        <v>233.82</v>
      </c>
      <c r="M391" s="13" t="s">
        <v>30</v>
      </c>
    </row>
    <row r="392" spans="1:13">
      <c r="A392" s="4" t="s">
        <v>452</v>
      </c>
      <c r="B392" s="5" t="s">
        <v>27</v>
      </c>
      <c r="C392" s="5" t="s">
        <v>52</v>
      </c>
      <c r="D392" s="5">
        <v>3866.45</v>
      </c>
      <c r="E392" s="5">
        <v>0.04</v>
      </c>
      <c r="F392" s="5">
        <v>6</v>
      </c>
      <c r="G392" s="6" t="str">
        <f t="shared" si="6"/>
        <v>April</v>
      </c>
      <c r="H392" s="7">
        <v>45399</v>
      </c>
      <c r="I392" s="7">
        <v>45405</v>
      </c>
      <c r="J392" s="5" t="s">
        <v>22</v>
      </c>
      <c r="K392" s="5" t="s">
        <v>17</v>
      </c>
      <c r="L392" s="5">
        <v>447.64</v>
      </c>
      <c r="M392" s="8" t="s">
        <v>77</v>
      </c>
    </row>
    <row r="393" spans="1:13">
      <c r="A393" s="9" t="s">
        <v>453</v>
      </c>
      <c r="B393" s="10" t="s">
        <v>35</v>
      </c>
      <c r="C393" s="10" t="s">
        <v>15</v>
      </c>
      <c r="D393" s="10">
        <v>2803.77</v>
      </c>
      <c r="E393" s="10">
        <v>0.36</v>
      </c>
      <c r="F393" s="10">
        <v>2</v>
      </c>
      <c r="G393" s="11" t="str">
        <f t="shared" si="6"/>
        <v>August</v>
      </c>
      <c r="H393" s="12">
        <v>45530</v>
      </c>
      <c r="I393" s="12">
        <v>45533</v>
      </c>
      <c r="J393" s="10" t="s">
        <v>16</v>
      </c>
      <c r="K393" s="10" t="s">
        <v>23</v>
      </c>
      <c r="L393" s="10">
        <v>632.89</v>
      </c>
      <c r="M393" s="13" t="s">
        <v>82</v>
      </c>
    </row>
    <row r="394" spans="1:13">
      <c r="A394" s="4" t="s">
        <v>454</v>
      </c>
      <c r="B394" s="5" t="s">
        <v>14</v>
      </c>
      <c r="C394" s="5" t="s">
        <v>52</v>
      </c>
      <c r="D394" s="5">
        <v>2126.7800000000002</v>
      </c>
      <c r="E394" s="5">
        <v>0.28000000000000003</v>
      </c>
      <c r="F394" s="5">
        <v>9</v>
      </c>
      <c r="G394" s="6" t="str">
        <f t="shared" si="6"/>
        <v>March</v>
      </c>
      <c r="H394" s="7">
        <v>45361</v>
      </c>
      <c r="I394" s="7">
        <v>45367</v>
      </c>
      <c r="J394" s="5" t="s">
        <v>16</v>
      </c>
      <c r="K394" s="5" t="s">
        <v>23</v>
      </c>
      <c r="L394" s="5">
        <v>513.26</v>
      </c>
      <c r="M394" s="8" t="s">
        <v>87</v>
      </c>
    </row>
    <row r="395" spans="1:13">
      <c r="A395" s="9" t="s">
        <v>455</v>
      </c>
      <c r="B395" s="10" t="s">
        <v>20</v>
      </c>
      <c r="C395" s="10" t="s">
        <v>52</v>
      </c>
      <c r="D395" s="10">
        <v>3204.29</v>
      </c>
      <c r="E395" s="10">
        <v>0.22</v>
      </c>
      <c r="F395" s="10">
        <v>6</v>
      </c>
      <c r="G395" s="11" t="str">
        <f t="shared" si="6"/>
        <v>December</v>
      </c>
      <c r="H395" s="12">
        <v>45630</v>
      </c>
      <c r="I395" s="12">
        <v>45635</v>
      </c>
      <c r="J395" s="10" t="s">
        <v>16</v>
      </c>
      <c r="K395" s="10" t="s">
        <v>29</v>
      </c>
      <c r="L395" s="10">
        <v>431.14</v>
      </c>
      <c r="M395" s="13" t="s">
        <v>82</v>
      </c>
    </row>
    <row r="396" spans="1:13">
      <c r="A396" s="4" t="s">
        <v>456</v>
      </c>
      <c r="B396" s="5" t="s">
        <v>27</v>
      </c>
      <c r="C396" s="5" t="s">
        <v>47</v>
      </c>
      <c r="D396" s="5">
        <v>4282.3</v>
      </c>
      <c r="E396" s="5">
        <v>0.26</v>
      </c>
      <c r="F396" s="5">
        <v>5</v>
      </c>
      <c r="G396" s="6" t="str">
        <f t="shared" si="6"/>
        <v>January</v>
      </c>
      <c r="H396" s="7">
        <v>44949</v>
      </c>
      <c r="I396" s="7">
        <v>44956</v>
      </c>
      <c r="J396" s="5" t="s">
        <v>22</v>
      </c>
      <c r="K396" s="5" t="s">
        <v>23</v>
      </c>
      <c r="L396" s="5">
        <v>275.87</v>
      </c>
      <c r="M396" s="8" t="s">
        <v>36</v>
      </c>
    </row>
    <row r="397" spans="1:13">
      <c r="A397" s="9" t="s">
        <v>457</v>
      </c>
      <c r="B397" s="10" t="s">
        <v>35</v>
      </c>
      <c r="C397" s="10" t="s">
        <v>52</v>
      </c>
      <c r="D397" s="10">
        <v>2386.5300000000002</v>
      </c>
      <c r="E397" s="10">
        <v>0.33</v>
      </c>
      <c r="F397" s="10">
        <v>9</v>
      </c>
      <c r="G397" s="11" t="str">
        <f t="shared" si="6"/>
        <v>March</v>
      </c>
      <c r="H397" s="12">
        <v>45008</v>
      </c>
      <c r="I397" s="12">
        <v>45011</v>
      </c>
      <c r="J397" s="10" t="s">
        <v>22</v>
      </c>
      <c r="K397" s="10" t="s">
        <v>23</v>
      </c>
      <c r="L397" s="10">
        <v>547.59</v>
      </c>
      <c r="M397" s="13" t="s">
        <v>63</v>
      </c>
    </row>
    <row r="398" spans="1:13">
      <c r="A398" s="4" t="s">
        <v>458</v>
      </c>
      <c r="B398" s="5" t="s">
        <v>14</v>
      </c>
      <c r="C398" s="5" t="s">
        <v>28</v>
      </c>
      <c r="D398" s="5">
        <v>4337.53</v>
      </c>
      <c r="E398" s="5">
        <v>0.5</v>
      </c>
      <c r="F398" s="5">
        <v>1</v>
      </c>
      <c r="G398" s="6" t="str">
        <f t="shared" si="6"/>
        <v>July</v>
      </c>
      <c r="H398" s="7">
        <v>45129</v>
      </c>
      <c r="I398" s="7">
        <v>45133</v>
      </c>
      <c r="J398" s="5" t="s">
        <v>22</v>
      </c>
      <c r="K398" s="5" t="s">
        <v>23</v>
      </c>
      <c r="L398" s="5">
        <v>367.48</v>
      </c>
      <c r="M398" s="8" t="s">
        <v>24</v>
      </c>
    </row>
    <row r="399" spans="1:13">
      <c r="A399" s="9" t="s">
        <v>459</v>
      </c>
      <c r="B399" s="10" t="s">
        <v>20</v>
      </c>
      <c r="C399" s="10" t="s">
        <v>15</v>
      </c>
      <c r="D399" s="10">
        <v>559.61</v>
      </c>
      <c r="E399" s="10">
        <v>0.39</v>
      </c>
      <c r="F399" s="10">
        <v>3</v>
      </c>
      <c r="G399" s="11" t="str">
        <f t="shared" si="6"/>
        <v>July</v>
      </c>
      <c r="H399" s="12">
        <v>45481</v>
      </c>
      <c r="I399" s="12">
        <v>45485</v>
      </c>
      <c r="J399" s="10" t="s">
        <v>42</v>
      </c>
      <c r="K399" s="10" t="s">
        <v>23</v>
      </c>
      <c r="L399" s="10">
        <v>66.31</v>
      </c>
      <c r="M399" s="13" t="s">
        <v>54</v>
      </c>
    </row>
    <row r="400" spans="1:13">
      <c r="A400" s="4" t="s">
        <v>460</v>
      </c>
      <c r="B400" s="5" t="s">
        <v>27</v>
      </c>
      <c r="C400" s="5" t="s">
        <v>21</v>
      </c>
      <c r="D400" s="5">
        <v>3300.11</v>
      </c>
      <c r="E400" s="5">
        <v>0.27</v>
      </c>
      <c r="F400" s="5">
        <v>2</v>
      </c>
      <c r="G400" s="6" t="str">
        <f t="shared" si="6"/>
        <v>April</v>
      </c>
      <c r="H400" s="7">
        <v>45033</v>
      </c>
      <c r="I400" s="7">
        <v>45034</v>
      </c>
      <c r="J400" s="5" t="s">
        <v>16</v>
      </c>
      <c r="K400" s="5" t="s">
        <v>23</v>
      </c>
      <c r="L400" s="5">
        <v>653.08000000000004</v>
      </c>
      <c r="M400" s="8" t="s">
        <v>36</v>
      </c>
    </row>
    <row r="401" spans="1:13">
      <c r="A401" s="9" t="s">
        <v>461</v>
      </c>
      <c r="B401" s="10" t="s">
        <v>35</v>
      </c>
      <c r="C401" s="10" t="s">
        <v>21</v>
      </c>
      <c r="D401" s="10">
        <v>1732.58</v>
      </c>
      <c r="E401" s="10">
        <v>0.39</v>
      </c>
      <c r="F401" s="10">
        <v>9</v>
      </c>
      <c r="G401" s="11" t="str">
        <f t="shared" si="6"/>
        <v>March</v>
      </c>
      <c r="H401" s="12">
        <v>45000</v>
      </c>
      <c r="I401" s="12">
        <v>45005</v>
      </c>
      <c r="J401" s="10" t="s">
        <v>22</v>
      </c>
      <c r="K401" s="10" t="s">
        <v>29</v>
      </c>
      <c r="L401" s="10">
        <v>484.92</v>
      </c>
      <c r="M401" s="13" t="s">
        <v>70</v>
      </c>
    </row>
    <row r="402" spans="1:13">
      <c r="A402" s="4" t="s">
        <v>462</v>
      </c>
      <c r="B402" s="5" t="s">
        <v>14</v>
      </c>
      <c r="C402" s="5" t="s">
        <v>47</v>
      </c>
      <c r="D402" s="5">
        <v>1994.91</v>
      </c>
      <c r="E402" s="5">
        <v>0.24</v>
      </c>
      <c r="F402" s="5">
        <v>6</v>
      </c>
      <c r="G402" s="6" t="str">
        <f t="shared" si="6"/>
        <v>December</v>
      </c>
      <c r="H402" s="7">
        <v>45282</v>
      </c>
      <c r="I402" s="7">
        <v>45289</v>
      </c>
      <c r="J402" s="5" t="s">
        <v>16</v>
      </c>
      <c r="K402" s="5" t="s">
        <v>23</v>
      </c>
      <c r="L402" s="5">
        <v>476.38</v>
      </c>
      <c r="M402" s="8" t="s">
        <v>74</v>
      </c>
    </row>
    <row r="403" spans="1:13">
      <c r="A403" s="9" t="s">
        <v>463</v>
      </c>
      <c r="B403" s="10" t="s">
        <v>20</v>
      </c>
      <c r="C403" s="10" t="s">
        <v>21</v>
      </c>
      <c r="D403" s="10">
        <v>2898</v>
      </c>
      <c r="E403" s="10">
        <v>0.16</v>
      </c>
      <c r="F403" s="10">
        <v>6</v>
      </c>
      <c r="G403" s="11" t="str">
        <f t="shared" si="6"/>
        <v>July</v>
      </c>
      <c r="H403" s="12">
        <v>45127</v>
      </c>
      <c r="I403" s="12">
        <v>45131</v>
      </c>
      <c r="J403" s="10" t="s">
        <v>42</v>
      </c>
      <c r="K403" s="10" t="s">
        <v>17</v>
      </c>
      <c r="L403" s="10">
        <v>339.95</v>
      </c>
      <c r="M403" s="13" t="s">
        <v>87</v>
      </c>
    </row>
    <row r="404" spans="1:13">
      <c r="A404" s="4" t="s">
        <v>464</v>
      </c>
      <c r="B404" s="5" t="s">
        <v>27</v>
      </c>
      <c r="C404" s="5" t="s">
        <v>21</v>
      </c>
      <c r="D404" s="5">
        <v>2451.59</v>
      </c>
      <c r="E404" s="5">
        <v>0.13</v>
      </c>
      <c r="F404" s="5">
        <v>5</v>
      </c>
      <c r="G404" s="6" t="str">
        <f t="shared" si="6"/>
        <v>December</v>
      </c>
      <c r="H404" s="7">
        <v>45288</v>
      </c>
      <c r="I404" s="7">
        <v>45289</v>
      </c>
      <c r="J404" s="5" t="s">
        <v>16</v>
      </c>
      <c r="K404" s="5" t="s">
        <v>17</v>
      </c>
      <c r="L404" s="5">
        <v>620.73</v>
      </c>
      <c r="M404" s="8" t="s">
        <v>25</v>
      </c>
    </row>
    <row r="405" spans="1:13">
      <c r="A405" s="9" t="s">
        <v>465</v>
      </c>
      <c r="B405" s="10" t="s">
        <v>35</v>
      </c>
      <c r="C405" s="10" t="s">
        <v>15</v>
      </c>
      <c r="D405" s="10">
        <v>1970.72</v>
      </c>
      <c r="E405" s="10">
        <v>0.2</v>
      </c>
      <c r="F405" s="10">
        <v>4</v>
      </c>
      <c r="G405" s="11" t="str">
        <f t="shared" si="6"/>
        <v>August</v>
      </c>
      <c r="H405" s="12">
        <v>45515</v>
      </c>
      <c r="I405" s="12">
        <v>45520</v>
      </c>
      <c r="J405" s="10" t="s">
        <v>22</v>
      </c>
      <c r="K405" s="10" t="s">
        <v>17</v>
      </c>
      <c r="L405" s="10">
        <v>300.44</v>
      </c>
      <c r="M405" s="13" t="s">
        <v>113</v>
      </c>
    </row>
    <row r="406" spans="1:13">
      <c r="A406" s="4" t="s">
        <v>466</v>
      </c>
      <c r="B406" s="5" t="s">
        <v>14</v>
      </c>
      <c r="C406" s="5" t="s">
        <v>15</v>
      </c>
      <c r="D406" s="5">
        <v>1610.78</v>
      </c>
      <c r="E406" s="5">
        <v>0</v>
      </c>
      <c r="F406" s="5">
        <v>4</v>
      </c>
      <c r="G406" s="6" t="str">
        <f t="shared" si="6"/>
        <v>April</v>
      </c>
      <c r="H406" s="7">
        <v>45397</v>
      </c>
      <c r="I406" s="7">
        <v>45401</v>
      </c>
      <c r="J406" s="5" t="s">
        <v>16</v>
      </c>
      <c r="K406" s="5" t="s">
        <v>29</v>
      </c>
      <c r="L406" s="5">
        <v>138.59</v>
      </c>
      <c r="M406" s="8" t="s">
        <v>25</v>
      </c>
    </row>
    <row r="407" spans="1:13">
      <c r="A407" s="9" t="s">
        <v>467</v>
      </c>
      <c r="B407" s="10" t="s">
        <v>20</v>
      </c>
      <c r="C407" s="10" t="s">
        <v>28</v>
      </c>
      <c r="D407" s="10">
        <v>3129.74</v>
      </c>
      <c r="E407" s="10">
        <v>0.09</v>
      </c>
      <c r="F407" s="10">
        <v>2</v>
      </c>
      <c r="G407" s="11" t="str">
        <f t="shared" si="6"/>
        <v>January</v>
      </c>
      <c r="H407" s="12">
        <v>45311</v>
      </c>
      <c r="I407" s="12">
        <v>45313</v>
      </c>
      <c r="J407" s="10" t="s">
        <v>22</v>
      </c>
      <c r="K407" s="10" t="s">
        <v>23</v>
      </c>
      <c r="L407" s="10">
        <v>398.59</v>
      </c>
      <c r="M407" s="13" t="s">
        <v>70</v>
      </c>
    </row>
    <row r="408" spans="1:13">
      <c r="A408" s="4" t="s">
        <v>468</v>
      </c>
      <c r="B408" s="5" t="s">
        <v>27</v>
      </c>
      <c r="C408" s="5" t="s">
        <v>47</v>
      </c>
      <c r="D408" s="5">
        <v>2577.34</v>
      </c>
      <c r="E408" s="5">
        <v>0.06</v>
      </c>
      <c r="F408" s="5">
        <v>7</v>
      </c>
      <c r="G408" s="6" t="str">
        <f t="shared" si="6"/>
        <v>January</v>
      </c>
      <c r="H408" s="7">
        <v>44945</v>
      </c>
      <c r="I408" s="7">
        <v>44946</v>
      </c>
      <c r="J408" s="5" t="s">
        <v>42</v>
      </c>
      <c r="K408" s="5" t="s">
        <v>23</v>
      </c>
      <c r="L408" s="5">
        <v>658.39</v>
      </c>
      <c r="M408" s="8" t="s">
        <v>118</v>
      </c>
    </row>
    <row r="409" spans="1:13">
      <c r="A409" s="9" t="s">
        <v>469</v>
      </c>
      <c r="B409" s="10" t="s">
        <v>35</v>
      </c>
      <c r="C409" s="10" t="s">
        <v>21</v>
      </c>
      <c r="D409" s="10">
        <v>1684.21</v>
      </c>
      <c r="E409" s="10">
        <v>0.48</v>
      </c>
      <c r="F409" s="10">
        <v>6</v>
      </c>
      <c r="G409" s="11" t="str">
        <f t="shared" si="6"/>
        <v>October</v>
      </c>
      <c r="H409" s="12">
        <v>45571</v>
      </c>
      <c r="I409" s="12">
        <v>45575</v>
      </c>
      <c r="J409" s="10" t="s">
        <v>42</v>
      </c>
      <c r="K409" s="10" t="s">
        <v>23</v>
      </c>
      <c r="L409" s="10">
        <v>240.4</v>
      </c>
      <c r="M409" s="13" t="s">
        <v>30</v>
      </c>
    </row>
    <row r="410" spans="1:13">
      <c r="A410" s="4" t="s">
        <v>470</v>
      </c>
      <c r="B410" s="5" t="s">
        <v>14</v>
      </c>
      <c r="C410" s="5" t="s">
        <v>28</v>
      </c>
      <c r="D410" s="5">
        <v>1104.31</v>
      </c>
      <c r="E410" s="5">
        <v>0.03</v>
      </c>
      <c r="F410" s="5">
        <v>3</v>
      </c>
      <c r="G410" s="6" t="str">
        <f t="shared" si="6"/>
        <v>November</v>
      </c>
      <c r="H410" s="7">
        <v>45621</v>
      </c>
      <c r="I410" s="7">
        <v>45623</v>
      </c>
      <c r="J410" s="5" t="s">
        <v>22</v>
      </c>
      <c r="K410" s="5" t="s">
        <v>23</v>
      </c>
      <c r="L410" s="5">
        <v>160.11000000000001</v>
      </c>
      <c r="M410" s="8" t="s">
        <v>30</v>
      </c>
    </row>
    <row r="411" spans="1:13">
      <c r="A411" s="9" t="s">
        <v>471</v>
      </c>
      <c r="B411" s="10" t="s">
        <v>20</v>
      </c>
      <c r="C411" s="10" t="s">
        <v>47</v>
      </c>
      <c r="D411" s="10">
        <v>3894.89</v>
      </c>
      <c r="E411" s="10">
        <v>0.25</v>
      </c>
      <c r="F411" s="10">
        <v>7</v>
      </c>
      <c r="G411" s="11" t="str">
        <f t="shared" si="6"/>
        <v>July</v>
      </c>
      <c r="H411" s="12">
        <v>45500</v>
      </c>
      <c r="I411" s="12">
        <v>45506</v>
      </c>
      <c r="J411" s="10" t="s">
        <v>42</v>
      </c>
      <c r="K411" s="10" t="s">
        <v>29</v>
      </c>
      <c r="L411" s="10">
        <v>1145.5</v>
      </c>
      <c r="M411" s="13" t="s">
        <v>70</v>
      </c>
    </row>
    <row r="412" spans="1:13">
      <c r="A412" s="4" t="s">
        <v>472</v>
      </c>
      <c r="B412" s="5" t="s">
        <v>27</v>
      </c>
      <c r="C412" s="5" t="s">
        <v>21</v>
      </c>
      <c r="D412" s="5">
        <v>4018.6</v>
      </c>
      <c r="E412" s="5">
        <v>0.46</v>
      </c>
      <c r="F412" s="5">
        <v>9</v>
      </c>
      <c r="G412" s="6" t="str">
        <f t="shared" si="6"/>
        <v>October</v>
      </c>
      <c r="H412" s="7">
        <v>45571</v>
      </c>
      <c r="I412" s="7">
        <v>45572</v>
      </c>
      <c r="J412" s="5" t="s">
        <v>16</v>
      </c>
      <c r="K412" s="5" t="s">
        <v>17</v>
      </c>
      <c r="L412" s="5">
        <v>719.59</v>
      </c>
      <c r="M412" s="8" t="s">
        <v>84</v>
      </c>
    </row>
    <row r="413" spans="1:13">
      <c r="A413" s="9" t="s">
        <v>473</v>
      </c>
      <c r="B413" s="10" t="s">
        <v>35</v>
      </c>
      <c r="C413" s="10" t="s">
        <v>21</v>
      </c>
      <c r="D413" s="10">
        <v>1147.56</v>
      </c>
      <c r="E413" s="10">
        <v>0.3</v>
      </c>
      <c r="F413" s="10">
        <v>1</v>
      </c>
      <c r="G413" s="11" t="str">
        <f t="shared" si="6"/>
        <v>May</v>
      </c>
      <c r="H413" s="12">
        <v>45047</v>
      </c>
      <c r="I413" s="12">
        <v>45051</v>
      </c>
      <c r="J413" s="10" t="s">
        <v>42</v>
      </c>
      <c r="K413" s="10" t="s">
        <v>29</v>
      </c>
      <c r="L413" s="10">
        <v>199.91</v>
      </c>
      <c r="M413" s="13" t="s">
        <v>70</v>
      </c>
    </row>
    <row r="414" spans="1:13">
      <c r="A414" s="4" t="s">
        <v>474</v>
      </c>
      <c r="B414" s="5" t="s">
        <v>14</v>
      </c>
      <c r="C414" s="5" t="s">
        <v>15</v>
      </c>
      <c r="D414" s="5">
        <v>1382.08</v>
      </c>
      <c r="E414" s="5">
        <v>0.25</v>
      </c>
      <c r="F414" s="5">
        <v>8</v>
      </c>
      <c r="G414" s="6" t="str">
        <f t="shared" si="6"/>
        <v>May</v>
      </c>
      <c r="H414" s="7">
        <v>45061</v>
      </c>
      <c r="I414" s="7">
        <v>45062</v>
      </c>
      <c r="J414" s="5" t="s">
        <v>42</v>
      </c>
      <c r="K414" s="5" t="s">
        <v>23</v>
      </c>
      <c r="L414" s="5">
        <v>321.3</v>
      </c>
      <c r="M414" s="8" t="s">
        <v>74</v>
      </c>
    </row>
    <row r="415" spans="1:13">
      <c r="A415" s="9" t="s">
        <v>475</v>
      </c>
      <c r="B415" s="10" t="s">
        <v>20</v>
      </c>
      <c r="C415" s="10" t="s">
        <v>52</v>
      </c>
      <c r="D415" s="10">
        <v>1271.8</v>
      </c>
      <c r="E415" s="10">
        <v>0.37</v>
      </c>
      <c r="F415" s="10">
        <v>2</v>
      </c>
      <c r="G415" s="11" t="str">
        <f t="shared" si="6"/>
        <v>September</v>
      </c>
      <c r="H415" s="12">
        <v>45181</v>
      </c>
      <c r="I415" s="12">
        <v>45184</v>
      </c>
      <c r="J415" s="10" t="s">
        <v>42</v>
      </c>
      <c r="K415" s="10" t="s">
        <v>23</v>
      </c>
      <c r="L415" s="10">
        <v>369.36</v>
      </c>
      <c r="M415" s="13" t="s">
        <v>54</v>
      </c>
    </row>
    <row r="416" spans="1:13">
      <c r="A416" s="4" t="s">
        <v>476</v>
      </c>
      <c r="B416" s="5" t="s">
        <v>27</v>
      </c>
      <c r="C416" s="5" t="s">
        <v>47</v>
      </c>
      <c r="D416" s="5">
        <v>4434.3900000000003</v>
      </c>
      <c r="E416" s="5">
        <v>0.18</v>
      </c>
      <c r="F416" s="5">
        <v>1</v>
      </c>
      <c r="G416" s="6" t="str">
        <f t="shared" si="6"/>
        <v>December</v>
      </c>
      <c r="H416" s="7">
        <v>45290</v>
      </c>
      <c r="I416" s="7">
        <v>45296</v>
      </c>
      <c r="J416" s="5" t="s">
        <v>42</v>
      </c>
      <c r="K416" s="5" t="s">
        <v>23</v>
      </c>
      <c r="L416" s="5">
        <v>1318.47</v>
      </c>
      <c r="M416" s="8" t="s">
        <v>63</v>
      </c>
    </row>
    <row r="417" spans="1:13">
      <c r="A417" s="9" t="s">
        <v>477</v>
      </c>
      <c r="B417" s="10" t="s">
        <v>35</v>
      </c>
      <c r="C417" s="10" t="s">
        <v>21</v>
      </c>
      <c r="D417" s="10">
        <v>3893.24</v>
      </c>
      <c r="E417" s="10">
        <v>0.1</v>
      </c>
      <c r="F417" s="10">
        <v>9</v>
      </c>
      <c r="G417" s="11" t="str">
        <f t="shared" si="6"/>
        <v>November</v>
      </c>
      <c r="H417" s="12">
        <v>45260</v>
      </c>
      <c r="I417" s="12">
        <v>45262</v>
      </c>
      <c r="J417" s="10" t="s">
        <v>22</v>
      </c>
      <c r="K417" s="10" t="s">
        <v>17</v>
      </c>
      <c r="L417" s="10">
        <v>954.08</v>
      </c>
      <c r="M417" s="13" t="s">
        <v>87</v>
      </c>
    </row>
    <row r="418" spans="1:13">
      <c r="A418" s="4" t="s">
        <v>478</v>
      </c>
      <c r="B418" s="5" t="s">
        <v>14</v>
      </c>
      <c r="C418" s="5" t="s">
        <v>47</v>
      </c>
      <c r="D418" s="5">
        <v>465.41</v>
      </c>
      <c r="E418" s="5">
        <v>0.42</v>
      </c>
      <c r="F418" s="5">
        <v>2</v>
      </c>
      <c r="G418" s="6" t="str">
        <f t="shared" si="6"/>
        <v>June</v>
      </c>
      <c r="H418" s="7">
        <v>45471</v>
      </c>
      <c r="I418" s="7">
        <v>45476</v>
      </c>
      <c r="J418" s="5" t="s">
        <v>42</v>
      </c>
      <c r="K418" s="5" t="s">
        <v>23</v>
      </c>
      <c r="L418" s="5">
        <v>124.67</v>
      </c>
      <c r="M418" s="8" t="s">
        <v>70</v>
      </c>
    </row>
    <row r="419" spans="1:13">
      <c r="A419" s="9" t="s">
        <v>479</v>
      </c>
      <c r="B419" s="10" t="s">
        <v>20</v>
      </c>
      <c r="C419" s="10" t="s">
        <v>28</v>
      </c>
      <c r="D419" s="10">
        <v>4180.0600000000004</v>
      </c>
      <c r="E419" s="10">
        <v>0.03</v>
      </c>
      <c r="F419" s="10">
        <v>7</v>
      </c>
      <c r="G419" s="11" t="str">
        <f t="shared" si="6"/>
        <v>January</v>
      </c>
      <c r="H419" s="12">
        <v>44932</v>
      </c>
      <c r="I419" s="12">
        <v>44937</v>
      </c>
      <c r="J419" s="10" t="s">
        <v>22</v>
      </c>
      <c r="K419" s="10" t="s">
        <v>23</v>
      </c>
      <c r="L419" s="10">
        <v>1157.1600000000001</v>
      </c>
      <c r="M419" s="13" t="s">
        <v>37</v>
      </c>
    </row>
    <row r="420" spans="1:13">
      <c r="A420" s="4" t="s">
        <v>480</v>
      </c>
      <c r="B420" s="5" t="s">
        <v>27</v>
      </c>
      <c r="C420" s="5" t="s">
        <v>28</v>
      </c>
      <c r="D420" s="5">
        <v>280.57</v>
      </c>
      <c r="E420" s="5">
        <v>0.4</v>
      </c>
      <c r="F420" s="5">
        <v>7</v>
      </c>
      <c r="G420" s="6" t="str">
        <f t="shared" si="6"/>
        <v>August</v>
      </c>
      <c r="H420" s="7">
        <v>45520</v>
      </c>
      <c r="I420" s="7">
        <v>45527</v>
      </c>
      <c r="J420" s="5" t="s">
        <v>22</v>
      </c>
      <c r="K420" s="5" t="s">
        <v>29</v>
      </c>
      <c r="L420" s="5">
        <v>66.28</v>
      </c>
      <c r="M420" s="8" t="s">
        <v>82</v>
      </c>
    </row>
    <row r="421" spans="1:13">
      <c r="A421" s="9" t="s">
        <v>481</v>
      </c>
      <c r="B421" s="10" t="s">
        <v>35</v>
      </c>
      <c r="C421" s="10" t="s">
        <v>52</v>
      </c>
      <c r="D421" s="10">
        <v>1340.68</v>
      </c>
      <c r="E421" s="10">
        <v>0.05</v>
      </c>
      <c r="F421" s="10">
        <v>1</v>
      </c>
      <c r="G421" s="11" t="str">
        <f t="shared" si="6"/>
        <v>May</v>
      </c>
      <c r="H421" s="12">
        <v>45060</v>
      </c>
      <c r="I421" s="12">
        <v>45061</v>
      </c>
      <c r="J421" s="10" t="s">
        <v>22</v>
      </c>
      <c r="K421" s="10" t="s">
        <v>23</v>
      </c>
      <c r="L421" s="10">
        <v>256.22000000000003</v>
      </c>
      <c r="M421" s="13" t="s">
        <v>70</v>
      </c>
    </row>
    <row r="422" spans="1:13">
      <c r="A422" s="4" t="s">
        <v>482</v>
      </c>
      <c r="B422" s="5" t="s">
        <v>14</v>
      </c>
      <c r="C422" s="5" t="s">
        <v>21</v>
      </c>
      <c r="D422" s="5">
        <v>4603.0600000000004</v>
      </c>
      <c r="E422" s="5">
        <v>0.31</v>
      </c>
      <c r="F422" s="5">
        <v>1</v>
      </c>
      <c r="G422" s="6" t="str">
        <f t="shared" si="6"/>
        <v>July</v>
      </c>
      <c r="H422" s="7">
        <v>45489</v>
      </c>
      <c r="I422" s="7">
        <v>45490</v>
      </c>
      <c r="J422" s="5" t="s">
        <v>16</v>
      </c>
      <c r="K422" s="5" t="s">
        <v>17</v>
      </c>
      <c r="L422" s="5">
        <v>517.95000000000005</v>
      </c>
      <c r="M422" s="8" t="s">
        <v>82</v>
      </c>
    </row>
    <row r="423" spans="1:13">
      <c r="A423" s="9" t="s">
        <v>483</v>
      </c>
      <c r="B423" s="10" t="s">
        <v>20</v>
      </c>
      <c r="C423" s="10" t="s">
        <v>15</v>
      </c>
      <c r="D423" s="10">
        <v>4335.22</v>
      </c>
      <c r="E423" s="10">
        <v>0.24</v>
      </c>
      <c r="F423" s="10">
        <v>7</v>
      </c>
      <c r="G423" s="11" t="str">
        <f t="shared" si="6"/>
        <v>August</v>
      </c>
      <c r="H423" s="12">
        <v>45148</v>
      </c>
      <c r="I423" s="12">
        <v>45151</v>
      </c>
      <c r="J423" s="10" t="s">
        <v>16</v>
      </c>
      <c r="K423" s="10" t="s">
        <v>29</v>
      </c>
      <c r="L423" s="10">
        <v>1006.56</v>
      </c>
      <c r="M423" s="13" t="s">
        <v>25</v>
      </c>
    </row>
    <row r="424" spans="1:13">
      <c r="A424" s="4" t="s">
        <v>484</v>
      </c>
      <c r="B424" s="5" t="s">
        <v>27</v>
      </c>
      <c r="C424" s="5" t="s">
        <v>21</v>
      </c>
      <c r="D424" s="5">
        <v>3929.03</v>
      </c>
      <c r="E424" s="5">
        <v>0.5</v>
      </c>
      <c r="F424" s="5">
        <v>6</v>
      </c>
      <c r="G424" s="6" t="str">
        <f t="shared" si="6"/>
        <v>September</v>
      </c>
      <c r="H424" s="7">
        <v>45194</v>
      </c>
      <c r="I424" s="7">
        <v>45196</v>
      </c>
      <c r="J424" s="5" t="s">
        <v>22</v>
      </c>
      <c r="K424" s="5" t="s">
        <v>23</v>
      </c>
      <c r="L424" s="5">
        <v>689.37</v>
      </c>
      <c r="M424" s="8" t="s">
        <v>82</v>
      </c>
    </row>
    <row r="425" spans="1:13">
      <c r="A425" s="9" t="s">
        <v>485</v>
      </c>
      <c r="B425" s="10" t="s">
        <v>35</v>
      </c>
      <c r="C425" s="10" t="s">
        <v>47</v>
      </c>
      <c r="D425" s="10">
        <v>2341.98</v>
      </c>
      <c r="E425" s="10">
        <v>0.19</v>
      </c>
      <c r="F425" s="10">
        <v>4</v>
      </c>
      <c r="G425" s="11" t="str">
        <f t="shared" si="6"/>
        <v>December</v>
      </c>
      <c r="H425" s="12">
        <v>45641</v>
      </c>
      <c r="I425" s="12">
        <v>45642</v>
      </c>
      <c r="J425" s="10" t="s">
        <v>16</v>
      </c>
      <c r="K425" s="10" t="s">
        <v>17</v>
      </c>
      <c r="L425" s="10">
        <v>654.1</v>
      </c>
      <c r="M425" s="13" t="s">
        <v>18</v>
      </c>
    </row>
    <row r="426" spans="1:13">
      <c r="A426" s="4" t="s">
        <v>486</v>
      </c>
      <c r="B426" s="5" t="s">
        <v>14</v>
      </c>
      <c r="C426" s="5" t="s">
        <v>28</v>
      </c>
      <c r="D426" s="5">
        <v>1674.93</v>
      </c>
      <c r="E426" s="5">
        <v>0.48</v>
      </c>
      <c r="F426" s="5">
        <v>3</v>
      </c>
      <c r="G426" s="6" t="str">
        <f t="shared" si="6"/>
        <v>September</v>
      </c>
      <c r="H426" s="7">
        <v>45560</v>
      </c>
      <c r="I426" s="7">
        <v>45565</v>
      </c>
      <c r="J426" s="5" t="s">
        <v>42</v>
      </c>
      <c r="K426" s="5" t="s">
        <v>29</v>
      </c>
      <c r="L426" s="5">
        <v>84.32</v>
      </c>
      <c r="M426" s="8" t="s">
        <v>37</v>
      </c>
    </row>
    <row r="427" spans="1:13">
      <c r="A427" s="9" t="s">
        <v>487</v>
      </c>
      <c r="B427" s="10" t="s">
        <v>20</v>
      </c>
      <c r="C427" s="10" t="s">
        <v>47</v>
      </c>
      <c r="D427" s="10">
        <v>4419.57</v>
      </c>
      <c r="E427" s="10">
        <v>0.2</v>
      </c>
      <c r="F427" s="10">
        <v>5</v>
      </c>
      <c r="G427" s="11" t="str">
        <f t="shared" si="6"/>
        <v>May</v>
      </c>
      <c r="H427" s="12">
        <v>45058</v>
      </c>
      <c r="I427" s="12">
        <v>45060</v>
      </c>
      <c r="J427" s="10" t="s">
        <v>16</v>
      </c>
      <c r="K427" s="10" t="s">
        <v>23</v>
      </c>
      <c r="L427" s="10">
        <v>1237.73</v>
      </c>
      <c r="M427" s="13" t="s">
        <v>82</v>
      </c>
    </row>
    <row r="428" spans="1:13">
      <c r="A428" s="4" t="s">
        <v>488</v>
      </c>
      <c r="B428" s="5" t="s">
        <v>27</v>
      </c>
      <c r="C428" s="5" t="s">
        <v>52</v>
      </c>
      <c r="D428" s="5">
        <v>3319.66</v>
      </c>
      <c r="E428" s="5">
        <v>0.34</v>
      </c>
      <c r="F428" s="5">
        <v>5</v>
      </c>
      <c r="G428" s="6" t="str">
        <f t="shared" si="6"/>
        <v>February</v>
      </c>
      <c r="H428" s="7">
        <v>44978</v>
      </c>
      <c r="I428" s="7">
        <v>44980</v>
      </c>
      <c r="J428" s="5" t="s">
        <v>42</v>
      </c>
      <c r="K428" s="5" t="s">
        <v>23</v>
      </c>
      <c r="L428" s="5">
        <v>954.37</v>
      </c>
      <c r="M428" s="8" t="s">
        <v>74</v>
      </c>
    </row>
    <row r="429" spans="1:13">
      <c r="A429" s="9" t="s">
        <v>489</v>
      </c>
      <c r="B429" s="10" t="s">
        <v>35</v>
      </c>
      <c r="C429" s="10" t="s">
        <v>28</v>
      </c>
      <c r="D429" s="10">
        <v>1547.99</v>
      </c>
      <c r="E429" s="10">
        <v>0.32</v>
      </c>
      <c r="F429" s="10">
        <v>3</v>
      </c>
      <c r="G429" s="11" t="str">
        <f t="shared" si="6"/>
        <v>September</v>
      </c>
      <c r="H429" s="12">
        <v>45181</v>
      </c>
      <c r="I429" s="12">
        <v>45184</v>
      </c>
      <c r="J429" s="10" t="s">
        <v>16</v>
      </c>
      <c r="K429" s="10" t="s">
        <v>29</v>
      </c>
      <c r="L429" s="10">
        <v>162.33000000000001</v>
      </c>
      <c r="M429" s="13" t="s">
        <v>24</v>
      </c>
    </row>
    <row r="430" spans="1:13">
      <c r="A430" s="4" t="s">
        <v>490</v>
      </c>
      <c r="B430" s="5" t="s">
        <v>14</v>
      </c>
      <c r="C430" s="5" t="s">
        <v>15</v>
      </c>
      <c r="D430" s="5">
        <v>2369.66</v>
      </c>
      <c r="E430" s="5">
        <v>0.04</v>
      </c>
      <c r="F430" s="5">
        <v>6</v>
      </c>
      <c r="G430" s="6" t="str">
        <f t="shared" si="6"/>
        <v>November</v>
      </c>
      <c r="H430" s="7">
        <v>45235</v>
      </c>
      <c r="I430" s="7">
        <v>45241</v>
      </c>
      <c r="J430" s="5" t="s">
        <v>22</v>
      </c>
      <c r="K430" s="5" t="s">
        <v>17</v>
      </c>
      <c r="L430" s="5">
        <v>639.24</v>
      </c>
      <c r="M430" s="8" t="s">
        <v>25</v>
      </c>
    </row>
    <row r="431" spans="1:13">
      <c r="A431" s="9" t="s">
        <v>491</v>
      </c>
      <c r="B431" s="10" t="s">
        <v>20</v>
      </c>
      <c r="C431" s="10" t="s">
        <v>28</v>
      </c>
      <c r="D431" s="10">
        <v>4419.3500000000004</v>
      </c>
      <c r="E431" s="10">
        <v>0.37</v>
      </c>
      <c r="F431" s="10">
        <v>3</v>
      </c>
      <c r="G431" s="11" t="str">
        <f t="shared" si="6"/>
        <v>December</v>
      </c>
      <c r="H431" s="12">
        <v>45275</v>
      </c>
      <c r="I431" s="12">
        <v>45276</v>
      </c>
      <c r="J431" s="10" t="s">
        <v>22</v>
      </c>
      <c r="K431" s="10" t="s">
        <v>29</v>
      </c>
      <c r="L431" s="10">
        <v>872.99</v>
      </c>
      <c r="M431" s="13" t="s">
        <v>70</v>
      </c>
    </row>
    <row r="432" spans="1:13">
      <c r="A432" s="4" t="s">
        <v>492</v>
      </c>
      <c r="B432" s="5" t="s">
        <v>27</v>
      </c>
      <c r="C432" s="5" t="s">
        <v>21</v>
      </c>
      <c r="D432" s="5">
        <v>4526.93</v>
      </c>
      <c r="E432" s="5">
        <v>0.1</v>
      </c>
      <c r="F432" s="5">
        <v>4</v>
      </c>
      <c r="G432" s="6" t="str">
        <f t="shared" si="6"/>
        <v>September</v>
      </c>
      <c r="H432" s="7">
        <v>45196</v>
      </c>
      <c r="I432" s="7">
        <v>45198</v>
      </c>
      <c r="J432" s="5" t="s">
        <v>16</v>
      </c>
      <c r="K432" s="5" t="s">
        <v>29</v>
      </c>
      <c r="L432" s="5">
        <v>558.38</v>
      </c>
      <c r="M432" s="8" t="s">
        <v>54</v>
      </c>
    </row>
    <row r="433" spans="1:13">
      <c r="A433" s="9" t="s">
        <v>493</v>
      </c>
      <c r="B433" s="10" t="s">
        <v>35</v>
      </c>
      <c r="C433" s="10" t="s">
        <v>21</v>
      </c>
      <c r="D433" s="10">
        <v>3330.58</v>
      </c>
      <c r="E433" s="10">
        <v>0.19</v>
      </c>
      <c r="F433" s="10">
        <v>3</v>
      </c>
      <c r="G433" s="11" t="str">
        <f t="shared" si="6"/>
        <v>February</v>
      </c>
      <c r="H433" s="12">
        <v>45331</v>
      </c>
      <c r="I433" s="12">
        <v>45334</v>
      </c>
      <c r="J433" s="10" t="s">
        <v>42</v>
      </c>
      <c r="K433" s="10" t="s">
        <v>17</v>
      </c>
      <c r="L433" s="10">
        <v>728.97</v>
      </c>
      <c r="M433" s="13" t="s">
        <v>113</v>
      </c>
    </row>
    <row r="434" spans="1:13">
      <c r="A434" s="4" t="s">
        <v>494</v>
      </c>
      <c r="B434" s="5" t="s">
        <v>14</v>
      </c>
      <c r="C434" s="5" t="s">
        <v>28</v>
      </c>
      <c r="D434" s="5">
        <v>3689.52</v>
      </c>
      <c r="E434" s="5">
        <v>0.39</v>
      </c>
      <c r="F434" s="5">
        <v>6</v>
      </c>
      <c r="G434" s="6" t="str">
        <f t="shared" si="6"/>
        <v>September</v>
      </c>
      <c r="H434" s="7">
        <v>45543</v>
      </c>
      <c r="I434" s="7">
        <v>45548</v>
      </c>
      <c r="J434" s="5" t="s">
        <v>42</v>
      </c>
      <c r="K434" s="5" t="s">
        <v>17</v>
      </c>
      <c r="L434" s="5">
        <v>920.08</v>
      </c>
      <c r="M434" s="8" t="s">
        <v>59</v>
      </c>
    </row>
    <row r="435" spans="1:13">
      <c r="A435" s="9" t="s">
        <v>495</v>
      </c>
      <c r="B435" s="10" t="s">
        <v>20</v>
      </c>
      <c r="C435" s="10" t="s">
        <v>52</v>
      </c>
      <c r="D435" s="10">
        <v>292.56</v>
      </c>
      <c r="E435" s="10">
        <v>0.47</v>
      </c>
      <c r="F435" s="10">
        <v>9</v>
      </c>
      <c r="G435" s="11" t="str">
        <f t="shared" si="6"/>
        <v>June</v>
      </c>
      <c r="H435" s="12">
        <v>45085</v>
      </c>
      <c r="I435" s="12">
        <v>45088</v>
      </c>
      <c r="J435" s="10" t="s">
        <v>22</v>
      </c>
      <c r="K435" s="10" t="s">
        <v>23</v>
      </c>
      <c r="L435" s="10">
        <v>45.46</v>
      </c>
      <c r="M435" s="13" t="s">
        <v>59</v>
      </c>
    </row>
    <row r="436" spans="1:13">
      <c r="A436" s="4" t="s">
        <v>496</v>
      </c>
      <c r="B436" s="5" t="s">
        <v>27</v>
      </c>
      <c r="C436" s="5" t="s">
        <v>21</v>
      </c>
      <c r="D436" s="5">
        <v>3062.54</v>
      </c>
      <c r="E436" s="5">
        <v>0.28000000000000003</v>
      </c>
      <c r="F436" s="5">
        <v>3</v>
      </c>
      <c r="G436" s="6" t="str">
        <f t="shared" si="6"/>
        <v>June</v>
      </c>
      <c r="H436" s="7">
        <v>45095</v>
      </c>
      <c r="I436" s="7">
        <v>45102</v>
      </c>
      <c r="J436" s="5" t="s">
        <v>42</v>
      </c>
      <c r="K436" s="5" t="s">
        <v>29</v>
      </c>
      <c r="L436" s="5">
        <v>628.74</v>
      </c>
      <c r="M436" s="8" t="s">
        <v>84</v>
      </c>
    </row>
    <row r="437" spans="1:13">
      <c r="A437" s="9" t="s">
        <v>497</v>
      </c>
      <c r="B437" s="10" t="s">
        <v>35</v>
      </c>
      <c r="C437" s="10" t="s">
        <v>21</v>
      </c>
      <c r="D437" s="10">
        <v>3476.06</v>
      </c>
      <c r="E437" s="10">
        <v>0.26</v>
      </c>
      <c r="F437" s="10">
        <v>1</v>
      </c>
      <c r="G437" s="11" t="str">
        <f t="shared" si="6"/>
        <v>October</v>
      </c>
      <c r="H437" s="12">
        <v>45573</v>
      </c>
      <c r="I437" s="12">
        <v>45580</v>
      </c>
      <c r="J437" s="10" t="s">
        <v>22</v>
      </c>
      <c r="K437" s="10" t="s">
        <v>23</v>
      </c>
      <c r="L437" s="10">
        <v>348.92</v>
      </c>
      <c r="M437" s="13" t="s">
        <v>118</v>
      </c>
    </row>
    <row r="438" spans="1:13">
      <c r="A438" s="4" t="s">
        <v>498</v>
      </c>
      <c r="B438" s="5" t="s">
        <v>14</v>
      </c>
      <c r="C438" s="5" t="s">
        <v>15</v>
      </c>
      <c r="D438" s="5">
        <v>199.85</v>
      </c>
      <c r="E438" s="5">
        <v>0.25</v>
      </c>
      <c r="F438" s="5">
        <v>7</v>
      </c>
      <c r="G438" s="6" t="str">
        <f t="shared" si="6"/>
        <v>July</v>
      </c>
      <c r="H438" s="7">
        <v>45499</v>
      </c>
      <c r="I438" s="7">
        <v>45506</v>
      </c>
      <c r="J438" s="5" t="s">
        <v>16</v>
      </c>
      <c r="K438" s="5" t="s">
        <v>17</v>
      </c>
      <c r="L438" s="5">
        <v>11.62</v>
      </c>
      <c r="M438" s="8" t="s">
        <v>54</v>
      </c>
    </row>
    <row r="439" spans="1:13">
      <c r="A439" s="9" t="s">
        <v>499</v>
      </c>
      <c r="B439" s="10" t="s">
        <v>20</v>
      </c>
      <c r="C439" s="10" t="s">
        <v>28</v>
      </c>
      <c r="D439" s="10">
        <v>4234.91</v>
      </c>
      <c r="E439" s="10">
        <v>0.41</v>
      </c>
      <c r="F439" s="10">
        <v>5</v>
      </c>
      <c r="G439" s="11" t="str">
        <f t="shared" si="6"/>
        <v>September</v>
      </c>
      <c r="H439" s="12">
        <v>45197</v>
      </c>
      <c r="I439" s="12">
        <v>45200</v>
      </c>
      <c r="J439" s="10" t="s">
        <v>16</v>
      </c>
      <c r="K439" s="10" t="s">
        <v>29</v>
      </c>
      <c r="L439" s="10">
        <v>1202.19</v>
      </c>
      <c r="M439" s="13" t="s">
        <v>25</v>
      </c>
    </row>
    <row r="440" spans="1:13">
      <c r="A440" s="4" t="s">
        <v>500</v>
      </c>
      <c r="B440" s="5" t="s">
        <v>27</v>
      </c>
      <c r="C440" s="5" t="s">
        <v>21</v>
      </c>
      <c r="D440" s="5">
        <v>4648.6000000000004</v>
      </c>
      <c r="E440" s="5">
        <v>0.5</v>
      </c>
      <c r="F440" s="5">
        <v>4</v>
      </c>
      <c r="G440" s="6" t="str">
        <f t="shared" si="6"/>
        <v>September</v>
      </c>
      <c r="H440" s="7">
        <v>45544</v>
      </c>
      <c r="I440" s="7">
        <v>45550</v>
      </c>
      <c r="J440" s="5" t="s">
        <v>16</v>
      </c>
      <c r="K440" s="5" t="s">
        <v>29</v>
      </c>
      <c r="L440" s="5">
        <v>411.68</v>
      </c>
      <c r="M440" s="8" t="s">
        <v>118</v>
      </c>
    </row>
    <row r="441" spans="1:13">
      <c r="A441" s="9" t="s">
        <v>501</v>
      </c>
      <c r="B441" s="10" t="s">
        <v>35</v>
      </c>
      <c r="C441" s="10" t="s">
        <v>52</v>
      </c>
      <c r="D441" s="10">
        <v>1265.8900000000001</v>
      </c>
      <c r="E441" s="10">
        <v>0.32</v>
      </c>
      <c r="F441" s="10">
        <v>3</v>
      </c>
      <c r="G441" s="11" t="str">
        <f t="shared" si="6"/>
        <v>April</v>
      </c>
      <c r="H441" s="12">
        <v>45403</v>
      </c>
      <c r="I441" s="12">
        <v>45410</v>
      </c>
      <c r="J441" s="10" t="s">
        <v>22</v>
      </c>
      <c r="K441" s="10" t="s">
        <v>29</v>
      </c>
      <c r="L441" s="10">
        <v>225.89</v>
      </c>
      <c r="M441" s="13" t="s">
        <v>56</v>
      </c>
    </row>
    <row r="442" spans="1:13">
      <c r="A442" s="4" t="s">
        <v>502</v>
      </c>
      <c r="B442" s="5" t="s">
        <v>14</v>
      </c>
      <c r="C442" s="5" t="s">
        <v>47</v>
      </c>
      <c r="D442" s="5">
        <v>4244.3999999999996</v>
      </c>
      <c r="E442" s="5">
        <v>0.19</v>
      </c>
      <c r="F442" s="5">
        <v>7</v>
      </c>
      <c r="G442" s="6" t="str">
        <f t="shared" si="6"/>
        <v>February</v>
      </c>
      <c r="H442" s="7">
        <v>45325</v>
      </c>
      <c r="I442" s="7">
        <v>45328</v>
      </c>
      <c r="J442" s="5" t="s">
        <v>16</v>
      </c>
      <c r="K442" s="5" t="s">
        <v>17</v>
      </c>
      <c r="L442" s="5">
        <v>302.62</v>
      </c>
      <c r="M442" s="8" t="s">
        <v>87</v>
      </c>
    </row>
    <row r="443" spans="1:13">
      <c r="A443" s="9" t="s">
        <v>503</v>
      </c>
      <c r="B443" s="10" t="s">
        <v>20</v>
      </c>
      <c r="C443" s="10" t="s">
        <v>28</v>
      </c>
      <c r="D443" s="10">
        <v>3361.01</v>
      </c>
      <c r="E443" s="10">
        <v>0.11</v>
      </c>
      <c r="F443" s="10">
        <v>2</v>
      </c>
      <c r="G443" s="11" t="str">
        <f t="shared" si="6"/>
        <v>December</v>
      </c>
      <c r="H443" s="12">
        <v>45267</v>
      </c>
      <c r="I443" s="12">
        <v>45274</v>
      </c>
      <c r="J443" s="10" t="s">
        <v>42</v>
      </c>
      <c r="K443" s="10" t="s">
        <v>17</v>
      </c>
      <c r="L443" s="10">
        <v>887.13</v>
      </c>
      <c r="M443" s="13" t="s">
        <v>118</v>
      </c>
    </row>
    <row r="444" spans="1:13">
      <c r="A444" s="4" t="s">
        <v>504</v>
      </c>
      <c r="B444" s="5" t="s">
        <v>27</v>
      </c>
      <c r="C444" s="5" t="s">
        <v>15</v>
      </c>
      <c r="D444" s="5">
        <v>2945.41</v>
      </c>
      <c r="E444" s="5">
        <v>0.1</v>
      </c>
      <c r="F444" s="5">
        <v>4</v>
      </c>
      <c r="G444" s="6" t="str">
        <f t="shared" si="6"/>
        <v>September</v>
      </c>
      <c r="H444" s="7">
        <v>45543</v>
      </c>
      <c r="I444" s="7">
        <v>45544</v>
      </c>
      <c r="J444" s="5" t="s">
        <v>22</v>
      </c>
      <c r="K444" s="5" t="s">
        <v>29</v>
      </c>
      <c r="L444" s="5">
        <v>715.35</v>
      </c>
      <c r="M444" s="8" t="s">
        <v>63</v>
      </c>
    </row>
    <row r="445" spans="1:13">
      <c r="A445" s="9" t="s">
        <v>505</v>
      </c>
      <c r="B445" s="10" t="s">
        <v>35</v>
      </c>
      <c r="C445" s="10" t="s">
        <v>21</v>
      </c>
      <c r="D445" s="10">
        <v>4231.32</v>
      </c>
      <c r="E445" s="10">
        <v>0.43</v>
      </c>
      <c r="F445" s="10">
        <v>2</v>
      </c>
      <c r="G445" s="11" t="str">
        <f t="shared" si="6"/>
        <v>August</v>
      </c>
      <c r="H445" s="12">
        <v>45526</v>
      </c>
      <c r="I445" s="12">
        <v>45529</v>
      </c>
      <c r="J445" s="10" t="s">
        <v>42</v>
      </c>
      <c r="K445" s="10" t="s">
        <v>29</v>
      </c>
      <c r="L445" s="10">
        <v>416.16</v>
      </c>
      <c r="M445" s="13" t="s">
        <v>70</v>
      </c>
    </row>
    <row r="446" spans="1:13">
      <c r="A446" s="4" t="s">
        <v>506</v>
      </c>
      <c r="B446" s="5" t="s">
        <v>14</v>
      </c>
      <c r="C446" s="5" t="s">
        <v>52</v>
      </c>
      <c r="D446" s="5">
        <v>1499.49</v>
      </c>
      <c r="E446" s="5">
        <v>0.5</v>
      </c>
      <c r="F446" s="5">
        <v>8</v>
      </c>
      <c r="G446" s="6" t="str">
        <f t="shared" si="6"/>
        <v>January</v>
      </c>
      <c r="H446" s="7">
        <v>44933</v>
      </c>
      <c r="I446" s="7">
        <v>44938</v>
      </c>
      <c r="J446" s="5" t="s">
        <v>16</v>
      </c>
      <c r="K446" s="5" t="s">
        <v>17</v>
      </c>
      <c r="L446" s="5">
        <v>380.04</v>
      </c>
      <c r="M446" s="8" t="s">
        <v>84</v>
      </c>
    </row>
    <row r="447" spans="1:13">
      <c r="A447" s="9" t="s">
        <v>507</v>
      </c>
      <c r="B447" s="10" t="s">
        <v>20</v>
      </c>
      <c r="C447" s="10" t="s">
        <v>28</v>
      </c>
      <c r="D447" s="10">
        <v>3975.2</v>
      </c>
      <c r="E447" s="10">
        <v>0.35</v>
      </c>
      <c r="F447" s="10">
        <v>3</v>
      </c>
      <c r="G447" s="11" t="str">
        <f t="shared" si="6"/>
        <v>January</v>
      </c>
      <c r="H447" s="12">
        <v>44950</v>
      </c>
      <c r="I447" s="12">
        <v>44952</v>
      </c>
      <c r="J447" s="10" t="s">
        <v>22</v>
      </c>
      <c r="K447" s="10" t="s">
        <v>17</v>
      </c>
      <c r="L447" s="10">
        <v>537.94000000000005</v>
      </c>
      <c r="M447" s="13" t="s">
        <v>87</v>
      </c>
    </row>
    <row r="448" spans="1:13">
      <c r="A448" s="4" t="s">
        <v>508</v>
      </c>
      <c r="B448" s="5" t="s">
        <v>27</v>
      </c>
      <c r="C448" s="5" t="s">
        <v>52</v>
      </c>
      <c r="D448" s="5">
        <v>1641.15</v>
      </c>
      <c r="E448" s="5">
        <v>0.48</v>
      </c>
      <c r="F448" s="5">
        <v>5</v>
      </c>
      <c r="G448" s="6" t="str">
        <f t="shared" si="6"/>
        <v>July</v>
      </c>
      <c r="H448" s="7">
        <v>45495</v>
      </c>
      <c r="I448" s="7">
        <v>45502</v>
      </c>
      <c r="J448" s="5" t="s">
        <v>22</v>
      </c>
      <c r="K448" s="5" t="s">
        <v>17</v>
      </c>
      <c r="L448" s="5">
        <v>426.36</v>
      </c>
      <c r="M448" s="8" t="s">
        <v>84</v>
      </c>
    </row>
    <row r="449" spans="1:13">
      <c r="A449" s="9" t="s">
        <v>509</v>
      </c>
      <c r="B449" s="10" t="s">
        <v>35</v>
      </c>
      <c r="C449" s="10" t="s">
        <v>52</v>
      </c>
      <c r="D449" s="10">
        <v>3958.54</v>
      </c>
      <c r="E449" s="10">
        <v>0.17</v>
      </c>
      <c r="F449" s="10">
        <v>4</v>
      </c>
      <c r="G449" s="11" t="str">
        <f t="shared" si="6"/>
        <v>December</v>
      </c>
      <c r="H449" s="12">
        <v>45653</v>
      </c>
      <c r="I449" s="12">
        <v>45660</v>
      </c>
      <c r="J449" s="10" t="s">
        <v>22</v>
      </c>
      <c r="K449" s="10" t="s">
        <v>29</v>
      </c>
      <c r="L449" s="10">
        <v>446.02</v>
      </c>
      <c r="M449" s="13" t="s">
        <v>24</v>
      </c>
    </row>
    <row r="450" spans="1:13">
      <c r="A450" s="4" t="s">
        <v>510</v>
      </c>
      <c r="B450" s="5" t="s">
        <v>14</v>
      </c>
      <c r="C450" s="5" t="s">
        <v>15</v>
      </c>
      <c r="D450" s="5">
        <v>2310.16</v>
      </c>
      <c r="E450" s="5">
        <v>0.31</v>
      </c>
      <c r="F450" s="5">
        <v>5</v>
      </c>
      <c r="G450" s="6" t="str">
        <f t="shared" ref="G450:G499" si="7">TEXT(H450,"mmmm")</f>
        <v>November</v>
      </c>
      <c r="H450" s="7">
        <v>45246</v>
      </c>
      <c r="I450" s="7">
        <v>45250</v>
      </c>
      <c r="J450" s="5" t="s">
        <v>16</v>
      </c>
      <c r="K450" s="5" t="s">
        <v>23</v>
      </c>
      <c r="L450" s="5">
        <v>387.87</v>
      </c>
      <c r="M450" s="8" t="s">
        <v>37</v>
      </c>
    </row>
    <row r="451" spans="1:13">
      <c r="A451" s="9" t="s">
        <v>511</v>
      </c>
      <c r="B451" s="10" t="s">
        <v>20</v>
      </c>
      <c r="C451" s="10" t="s">
        <v>28</v>
      </c>
      <c r="D451" s="10">
        <v>673.03</v>
      </c>
      <c r="E451" s="10">
        <v>0.26</v>
      </c>
      <c r="F451" s="10">
        <v>4</v>
      </c>
      <c r="G451" s="11" t="str">
        <f t="shared" si="7"/>
        <v>June</v>
      </c>
      <c r="H451" s="12">
        <v>45463</v>
      </c>
      <c r="I451" s="12">
        <v>45470</v>
      </c>
      <c r="J451" s="10" t="s">
        <v>22</v>
      </c>
      <c r="K451" s="10" t="s">
        <v>23</v>
      </c>
      <c r="L451" s="10">
        <v>77.650000000000006</v>
      </c>
      <c r="M451" s="13" t="s">
        <v>36</v>
      </c>
    </row>
    <row r="452" spans="1:13">
      <c r="A452" s="4" t="s">
        <v>512</v>
      </c>
      <c r="B452" s="5" t="s">
        <v>27</v>
      </c>
      <c r="C452" s="5" t="s">
        <v>21</v>
      </c>
      <c r="D452" s="5">
        <v>1969.45</v>
      </c>
      <c r="E452" s="5">
        <v>0.24</v>
      </c>
      <c r="F452" s="5">
        <v>8</v>
      </c>
      <c r="G452" s="6" t="str">
        <f t="shared" si="7"/>
        <v>March</v>
      </c>
      <c r="H452" s="7">
        <v>45382</v>
      </c>
      <c r="I452" s="7">
        <v>45388</v>
      </c>
      <c r="J452" s="5" t="s">
        <v>22</v>
      </c>
      <c r="K452" s="5" t="s">
        <v>29</v>
      </c>
      <c r="L452" s="5">
        <v>428.31</v>
      </c>
      <c r="M452" s="8" t="s">
        <v>63</v>
      </c>
    </row>
    <row r="453" spans="1:13">
      <c r="A453" s="9" t="s">
        <v>513</v>
      </c>
      <c r="B453" s="10" t="s">
        <v>35</v>
      </c>
      <c r="C453" s="10" t="s">
        <v>15</v>
      </c>
      <c r="D453" s="10">
        <v>1244.1199999999999</v>
      </c>
      <c r="E453" s="10">
        <v>0.32</v>
      </c>
      <c r="F453" s="10">
        <v>6</v>
      </c>
      <c r="G453" s="11" t="str">
        <f t="shared" si="7"/>
        <v>February</v>
      </c>
      <c r="H453" s="12">
        <v>45344</v>
      </c>
      <c r="I453" s="12">
        <v>45345</v>
      </c>
      <c r="J453" s="10" t="s">
        <v>16</v>
      </c>
      <c r="K453" s="10" t="s">
        <v>23</v>
      </c>
      <c r="L453" s="10">
        <v>79.13</v>
      </c>
      <c r="M453" s="13" t="s">
        <v>82</v>
      </c>
    </row>
    <row r="454" spans="1:13">
      <c r="A454" s="4" t="s">
        <v>514</v>
      </c>
      <c r="B454" s="5" t="s">
        <v>14</v>
      </c>
      <c r="C454" s="5" t="s">
        <v>21</v>
      </c>
      <c r="D454" s="5">
        <v>592.6</v>
      </c>
      <c r="E454" s="5">
        <v>0.16</v>
      </c>
      <c r="F454" s="5">
        <v>1</v>
      </c>
      <c r="G454" s="6" t="str">
        <f t="shared" si="7"/>
        <v>April</v>
      </c>
      <c r="H454" s="7">
        <v>45409</v>
      </c>
      <c r="I454" s="7">
        <v>45413</v>
      </c>
      <c r="J454" s="5" t="s">
        <v>16</v>
      </c>
      <c r="K454" s="5" t="s">
        <v>29</v>
      </c>
      <c r="L454" s="5">
        <v>115.42</v>
      </c>
      <c r="M454" s="8" t="s">
        <v>113</v>
      </c>
    </row>
    <row r="455" spans="1:13">
      <c r="A455" s="9" t="s">
        <v>515</v>
      </c>
      <c r="B455" s="10" t="s">
        <v>20</v>
      </c>
      <c r="C455" s="10" t="s">
        <v>47</v>
      </c>
      <c r="D455" s="10">
        <v>640.41</v>
      </c>
      <c r="E455" s="10">
        <v>0.32</v>
      </c>
      <c r="F455" s="10">
        <v>5</v>
      </c>
      <c r="G455" s="11" t="str">
        <f t="shared" si="7"/>
        <v>July</v>
      </c>
      <c r="H455" s="12">
        <v>45492</v>
      </c>
      <c r="I455" s="12">
        <v>45499</v>
      </c>
      <c r="J455" s="10" t="s">
        <v>42</v>
      </c>
      <c r="K455" s="10" t="s">
        <v>23</v>
      </c>
      <c r="L455" s="10">
        <v>150.09</v>
      </c>
      <c r="M455" s="13" t="s">
        <v>70</v>
      </c>
    </row>
    <row r="456" spans="1:13">
      <c r="A456" s="4" t="s">
        <v>516</v>
      </c>
      <c r="B456" s="5" t="s">
        <v>27</v>
      </c>
      <c r="C456" s="5" t="s">
        <v>52</v>
      </c>
      <c r="D456" s="5">
        <v>3922.35</v>
      </c>
      <c r="E456" s="5">
        <v>0.34</v>
      </c>
      <c r="F456" s="5">
        <v>1</v>
      </c>
      <c r="G456" s="6" t="str">
        <f t="shared" si="7"/>
        <v>March</v>
      </c>
      <c r="H456" s="7">
        <v>45012</v>
      </c>
      <c r="I456" s="7">
        <v>45018</v>
      </c>
      <c r="J456" s="5" t="s">
        <v>42</v>
      </c>
      <c r="K456" s="5" t="s">
        <v>29</v>
      </c>
      <c r="L456" s="5">
        <v>387.72</v>
      </c>
      <c r="M456" s="8" t="s">
        <v>56</v>
      </c>
    </row>
    <row r="457" spans="1:13">
      <c r="A457" s="9" t="s">
        <v>517</v>
      </c>
      <c r="B457" s="10" t="s">
        <v>35</v>
      </c>
      <c r="C457" s="10" t="s">
        <v>47</v>
      </c>
      <c r="D457" s="10">
        <v>4418.8500000000004</v>
      </c>
      <c r="E457" s="10">
        <v>0.42</v>
      </c>
      <c r="F457" s="10">
        <v>3</v>
      </c>
      <c r="G457" s="11" t="str">
        <f t="shared" si="7"/>
        <v>May</v>
      </c>
      <c r="H457" s="12">
        <v>45429</v>
      </c>
      <c r="I457" s="12">
        <v>45435</v>
      </c>
      <c r="J457" s="10" t="s">
        <v>42</v>
      </c>
      <c r="K457" s="10" t="s">
        <v>17</v>
      </c>
      <c r="L457" s="10">
        <v>482.71</v>
      </c>
      <c r="M457" s="13" t="s">
        <v>37</v>
      </c>
    </row>
    <row r="458" spans="1:13">
      <c r="A458" s="4" t="s">
        <v>518</v>
      </c>
      <c r="B458" s="5" t="s">
        <v>14</v>
      </c>
      <c r="C458" s="5" t="s">
        <v>52</v>
      </c>
      <c r="D458" s="5">
        <v>4642.93</v>
      </c>
      <c r="E458" s="5">
        <v>0.37</v>
      </c>
      <c r="F458" s="5">
        <v>6</v>
      </c>
      <c r="G458" s="6" t="str">
        <f t="shared" si="7"/>
        <v>December</v>
      </c>
      <c r="H458" s="7">
        <v>45290</v>
      </c>
      <c r="I458" s="7">
        <v>45293</v>
      </c>
      <c r="J458" s="5" t="s">
        <v>22</v>
      </c>
      <c r="K458" s="5" t="s">
        <v>23</v>
      </c>
      <c r="L458" s="5">
        <v>1074.45</v>
      </c>
      <c r="M458" s="8" t="s">
        <v>118</v>
      </c>
    </row>
    <row r="459" spans="1:13">
      <c r="A459" s="9" t="s">
        <v>519</v>
      </c>
      <c r="B459" s="10" t="s">
        <v>20</v>
      </c>
      <c r="C459" s="10" t="s">
        <v>15</v>
      </c>
      <c r="D459" s="10">
        <v>4284.34</v>
      </c>
      <c r="E459" s="10">
        <v>0.16</v>
      </c>
      <c r="F459" s="10">
        <v>9</v>
      </c>
      <c r="G459" s="11" t="str">
        <f t="shared" si="7"/>
        <v>February</v>
      </c>
      <c r="H459" s="12">
        <v>44963</v>
      </c>
      <c r="I459" s="12">
        <v>44964</v>
      </c>
      <c r="J459" s="10" t="s">
        <v>16</v>
      </c>
      <c r="K459" s="10" t="s">
        <v>23</v>
      </c>
      <c r="L459" s="10">
        <v>659.46</v>
      </c>
      <c r="M459" s="13" t="s">
        <v>18</v>
      </c>
    </row>
    <row r="460" spans="1:13">
      <c r="A460" s="4" t="s">
        <v>520</v>
      </c>
      <c r="B460" s="5" t="s">
        <v>27</v>
      </c>
      <c r="C460" s="5" t="s">
        <v>21</v>
      </c>
      <c r="D460" s="5">
        <v>4168.1000000000004</v>
      </c>
      <c r="E460" s="5">
        <v>0.23</v>
      </c>
      <c r="F460" s="5">
        <v>3</v>
      </c>
      <c r="G460" s="6" t="str">
        <f t="shared" si="7"/>
        <v>October</v>
      </c>
      <c r="H460" s="7">
        <v>45212</v>
      </c>
      <c r="I460" s="7">
        <v>45217</v>
      </c>
      <c r="J460" s="5" t="s">
        <v>42</v>
      </c>
      <c r="K460" s="5" t="s">
        <v>17</v>
      </c>
      <c r="L460" s="5">
        <v>857.48</v>
      </c>
      <c r="M460" s="8" t="s">
        <v>74</v>
      </c>
    </row>
    <row r="461" spans="1:13">
      <c r="A461" s="9" t="s">
        <v>521</v>
      </c>
      <c r="B461" s="10" t="s">
        <v>35</v>
      </c>
      <c r="C461" s="10" t="s">
        <v>21</v>
      </c>
      <c r="D461" s="10">
        <v>437.3</v>
      </c>
      <c r="E461" s="10">
        <v>0.06</v>
      </c>
      <c r="F461" s="10">
        <v>4</v>
      </c>
      <c r="G461" s="11" t="str">
        <f t="shared" si="7"/>
        <v>May</v>
      </c>
      <c r="H461" s="12">
        <v>45433</v>
      </c>
      <c r="I461" s="12">
        <v>45437</v>
      </c>
      <c r="J461" s="10" t="s">
        <v>42</v>
      </c>
      <c r="K461" s="10" t="s">
        <v>23</v>
      </c>
      <c r="L461" s="10">
        <v>68.510000000000005</v>
      </c>
      <c r="M461" s="13" t="s">
        <v>84</v>
      </c>
    </row>
    <row r="462" spans="1:13">
      <c r="A462" s="4" t="s">
        <v>522</v>
      </c>
      <c r="B462" s="5" t="s">
        <v>14</v>
      </c>
      <c r="C462" s="5" t="s">
        <v>15</v>
      </c>
      <c r="D462" s="5">
        <v>3971.61</v>
      </c>
      <c r="E462" s="5">
        <v>0.13</v>
      </c>
      <c r="F462" s="5">
        <v>1</v>
      </c>
      <c r="G462" s="6" t="str">
        <f t="shared" si="7"/>
        <v>September</v>
      </c>
      <c r="H462" s="7">
        <v>45552</v>
      </c>
      <c r="I462" s="7">
        <v>45554</v>
      </c>
      <c r="J462" s="5" t="s">
        <v>16</v>
      </c>
      <c r="K462" s="5" t="s">
        <v>29</v>
      </c>
      <c r="L462" s="5">
        <v>614.4</v>
      </c>
      <c r="M462" s="8" t="s">
        <v>70</v>
      </c>
    </row>
    <row r="463" spans="1:13">
      <c r="A463" s="9" t="s">
        <v>523</v>
      </c>
      <c r="B463" s="10" t="s">
        <v>20</v>
      </c>
      <c r="C463" s="10" t="s">
        <v>28</v>
      </c>
      <c r="D463" s="10">
        <v>3938.09</v>
      </c>
      <c r="E463" s="10">
        <v>0.26</v>
      </c>
      <c r="F463" s="10">
        <v>2</v>
      </c>
      <c r="G463" s="11" t="str">
        <f t="shared" si="7"/>
        <v>July</v>
      </c>
      <c r="H463" s="12">
        <v>45114</v>
      </c>
      <c r="I463" s="12">
        <v>45120</v>
      </c>
      <c r="J463" s="10" t="s">
        <v>22</v>
      </c>
      <c r="K463" s="10" t="s">
        <v>29</v>
      </c>
      <c r="L463" s="10">
        <v>492.8</v>
      </c>
      <c r="M463" s="13" t="s">
        <v>87</v>
      </c>
    </row>
    <row r="464" spans="1:13">
      <c r="A464" s="4" t="s">
        <v>524</v>
      </c>
      <c r="B464" s="5" t="s">
        <v>27</v>
      </c>
      <c r="C464" s="5" t="s">
        <v>47</v>
      </c>
      <c r="D464" s="5">
        <v>743.32</v>
      </c>
      <c r="E464" s="5">
        <v>0.05</v>
      </c>
      <c r="F464" s="5">
        <v>7</v>
      </c>
      <c r="G464" s="6" t="str">
        <f t="shared" si="7"/>
        <v>May</v>
      </c>
      <c r="H464" s="7">
        <v>45056</v>
      </c>
      <c r="I464" s="7">
        <v>45061</v>
      </c>
      <c r="J464" s="5" t="s">
        <v>16</v>
      </c>
      <c r="K464" s="5" t="s">
        <v>17</v>
      </c>
      <c r="L464" s="5">
        <v>145.88999999999999</v>
      </c>
      <c r="M464" s="8" t="s">
        <v>70</v>
      </c>
    </row>
    <row r="465" spans="1:13">
      <c r="A465" s="9" t="s">
        <v>525</v>
      </c>
      <c r="B465" s="10" t="s">
        <v>35</v>
      </c>
      <c r="C465" s="10" t="s">
        <v>47</v>
      </c>
      <c r="D465" s="10">
        <v>3343.85</v>
      </c>
      <c r="E465" s="10">
        <v>0.28999999999999998</v>
      </c>
      <c r="F465" s="10">
        <v>8</v>
      </c>
      <c r="G465" s="11" t="str">
        <f t="shared" si="7"/>
        <v>October</v>
      </c>
      <c r="H465" s="12">
        <v>45230</v>
      </c>
      <c r="I465" s="12">
        <v>45235</v>
      </c>
      <c r="J465" s="10" t="s">
        <v>16</v>
      </c>
      <c r="K465" s="10" t="s">
        <v>23</v>
      </c>
      <c r="L465" s="10">
        <v>668.21</v>
      </c>
      <c r="M465" s="13" t="s">
        <v>30</v>
      </c>
    </row>
    <row r="466" spans="1:13">
      <c r="A466" s="4" t="s">
        <v>526</v>
      </c>
      <c r="B466" s="5" t="s">
        <v>14</v>
      </c>
      <c r="C466" s="5" t="s">
        <v>21</v>
      </c>
      <c r="D466" s="5">
        <v>2317.29</v>
      </c>
      <c r="E466" s="5">
        <v>0.2</v>
      </c>
      <c r="F466" s="5">
        <v>1</v>
      </c>
      <c r="G466" s="6" t="str">
        <f t="shared" si="7"/>
        <v>December</v>
      </c>
      <c r="H466" s="7">
        <v>45653</v>
      </c>
      <c r="I466" s="7">
        <v>45657</v>
      </c>
      <c r="J466" s="5" t="s">
        <v>16</v>
      </c>
      <c r="K466" s="5" t="s">
        <v>29</v>
      </c>
      <c r="L466" s="5">
        <v>551.62</v>
      </c>
      <c r="M466" s="8" t="s">
        <v>118</v>
      </c>
    </row>
    <row r="467" spans="1:13">
      <c r="A467" s="9" t="s">
        <v>527</v>
      </c>
      <c r="B467" s="10" t="s">
        <v>20</v>
      </c>
      <c r="C467" s="10" t="s">
        <v>21</v>
      </c>
      <c r="D467" s="10">
        <v>4510.07</v>
      </c>
      <c r="E467" s="10">
        <v>0.02</v>
      </c>
      <c r="F467" s="10">
        <v>9</v>
      </c>
      <c r="G467" s="11" t="str">
        <f t="shared" si="7"/>
        <v>June</v>
      </c>
      <c r="H467" s="12">
        <v>45462</v>
      </c>
      <c r="I467" s="12">
        <v>45464</v>
      </c>
      <c r="J467" s="10" t="s">
        <v>22</v>
      </c>
      <c r="K467" s="10" t="s">
        <v>17</v>
      </c>
      <c r="L467" s="10">
        <v>791.13</v>
      </c>
      <c r="M467" s="13" t="s">
        <v>74</v>
      </c>
    </row>
    <row r="468" spans="1:13">
      <c r="A468" s="4" t="s">
        <v>528</v>
      </c>
      <c r="B468" s="5" t="s">
        <v>27</v>
      </c>
      <c r="C468" s="5" t="s">
        <v>21</v>
      </c>
      <c r="D468" s="5">
        <v>3507.5</v>
      </c>
      <c r="E468" s="5">
        <v>0.22</v>
      </c>
      <c r="F468" s="5">
        <v>6</v>
      </c>
      <c r="G468" s="6" t="str">
        <f t="shared" si="7"/>
        <v>September</v>
      </c>
      <c r="H468" s="7">
        <v>45175</v>
      </c>
      <c r="I468" s="7">
        <v>45176</v>
      </c>
      <c r="J468" s="5" t="s">
        <v>42</v>
      </c>
      <c r="K468" s="5" t="s">
        <v>23</v>
      </c>
      <c r="L468" s="5">
        <v>668.11</v>
      </c>
      <c r="M468" s="8" t="s">
        <v>84</v>
      </c>
    </row>
    <row r="469" spans="1:13">
      <c r="A469" s="9" t="s">
        <v>529</v>
      </c>
      <c r="B469" s="10" t="s">
        <v>35</v>
      </c>
      <c r="C469" s="10" t="s">
        <v>15</v>
      </c>
      <c r="D469" s="10">
        <v>4759.84</v>
      </c>
      <c r="E469" s="10">
        <v>0.14000000000000001</v>
      </c>
      <c r="F469" s="10">
        <v>1</v>
      </c>
      <c r="G469" s="11" t="str">
        <f t="shared" si="7"/>
        <v>August</v>
      </c>
      <c r="H469" s="12">
        <v>45153</v>
      </c>
      <c r="I469" s="12">
        <v>45160</v>
      </c>
      <c r="J469" s="10" t="s">
        <v>42</v>
      </c>
      <c r="K469" s="10" t="s">
        <v>29</v>
      </c>
      <c r="L469" s="10">
        <v>1246.55</v>
      </c>
      <c r="M469" s="13" t="s">
        <v>74</v>
      </c>
    </row>
    <row r="470" spans="1:13">
      <c r="A470" s="4" t="s">
        <v>530</v>
      </c>
      <c r="B470" s="5" t="s">
        <v>14</v>
      </c>
      <c r="C470" s="5" t="s">
        <v>28</v>
      </c>
      <c r="D470" s="5">
        <v>614.12</v>
      </c>
      <c r="E470" s="5">
        <v>0.03</v>
      </c>
      <c r="F470" s="5">
        <v>4</v>
      </c>
      <c r="G470" s="6" t="str">
        <f t="shared" si="7"/>
        <v>December</v>
      </c>
      <c r="H470" s="7">
        <v>45638</v>
      </c>
      <c r="I470" s="7">
        <v>45643</v>
      </c>
      <c r="J470" s="5" t="s">
        <v>22</v>
      </c>
      <c r="K470" s="5" t="s">
        <v>23</v>
      </c>
      <c r="L470" s="5">
        <v>36.9</v>
      </c>
      <c r="M470" s="8" t="s">
        <v>59</v>
      </c>
    </row>
    <row r="471" spans="1:13">
      <c r="A471" s="9" t="s">
        <v>531</v>
      </c>
      <c r="B471" s="10" t="s">
        <v>20</v>
      </c>
      <c r="C471" s="10" t="s">
        <v>47</v>
      </c>
      <c r="D471" s="10">
        <v>298.98</v>
      </c>
      <c r="E471" s="10">
        <v>0.15</v>
      </c>
      <c r="F471" s="10">
        <v>4</v>
      </c>
      <c r="G471" s="11" t="str">
        <f t="shared" si="7"/>
        <v>April</v>
      </c>
      <c r="H471" s="12">
        <v>45410</v>
      </c>
      <c r="I471" s="12">
        <v>45411</v>
      </c>
      <c r="J471" s="10" t="s">
        <v>16</v>
      </c>
      <c r="K471" s="10" t="s">
        <v>23</v>
      </c>
      <c r="L471" s="10">
        <v>53.78</v>
      </c>
      <c r="M471" s="13" t="s">
        <v>30</v>
      </c>
    </row>
    <row r="472" spans="1:13">
      <c r="A472" s="4" t="s">
        <v>532</v>
      </c>
      <c r="B472" s="5" t="s">
        <v>27</v>
      </c>
      <c r="C472" s="5" t="s">
        <v>52</v>
      </c>
      <c r="D472" s="5">
        <v>4870.54</v>
      </c>
      <c r="E472" s="5">
        <v>0.15</v>
      </c>
      <c r="F472" s="5">
        <v>7</v>
      </c>
      <c r="G472" s="6" t="str">
        <f t="shared" si="7"/>
        <v>October</v>
      </c>
      <c r="H472" s="7">
        <v>45584</v>
      </c>
      <c r="I472" s="7">
        <v>45589</v>
      </c>
      <c r="J472" s="5" t="s">
        <v>16</v>
      </c>
      <c r="K472" s="5" t="s">
        <v>29</v>
      </c>
      <c r="L472" s="5">
        <v>397.26</v>
      </c>
      <c r="M472" s="8" t="s">
        <v>118</v>
      </c>
    </row>
    <row r="473" spans="1:13">
      <c r="A473" s="9" t="s">
        <v>533</v>
      </c>
      <c r="B473" s="10" t="s">
        <v>35</v>
      </c>
      <c r="C473" s="10" t="s">
        <v>15</v>
      </c>
      <c r="D473" s="10">
        <v>492.94</v>
      </c>
      <c r="E473" s="10">
        <v>0.18</v>
      </c>
      <c r="F473" s="10">
        <v>1</v>
      </c>
      <c r="G473" s="11" t="str">
        <f t="shared" si="7"/>
        <v>November</v>
      </c>
      <c r="H473" s="12">
        <v>45250</v>
      </c>
      <c r="I473" s="12">
        <v>45257</v>
      </c>
      <c r="J473" s="10" t="s">
        <v>42</v>
      </c>
      <c r="K473" s="10" t="s">
        <v>23</v>
      </c>
      <c r="L473" s="10">
        <v>109.12</v>
      </c>
      <c r="M473" s="13" t="s">
        <v>56</v>
      </c>
    </row>
    <row r="474" spans="1:13">
      <c r="A474" s="4" t="s">
        <v>534</v>
      </c>
      <c r="B474" s="5" t="s">
        <v>14</v>
      </c>
      <c r="C474" s="5" t="s">
        <v>47</v>
      </c>
      <c r="D474" s="5">
        <v>1992.36</v>
      </c>
      <c r="E474" s="5">
        <v>0.18</v>
      </c>
      <c r="F474" s="5">
        <v>9</v>
      </c>
      <c r="G474" s="6" t="str">
        <f t="shared" si="7"/>
        <v>January</v>
      </c>
      <c r="H474" s="7">
        <v>44934</v>
      </c>
      <c r="I474" s="7">
        <v>44937</v>
      </c>
      <c r="J474" s="5" t="s">
        <v>42</v>
      </c>
      <c r="K474" s="5" t="s">
        <v>29</v>
      </c>
      <c r="L474" s="5">
        <v>545.08000000000004</v>
      </c>
      <c r="M474" s="8" t="s">
        <v>74</v>
      </c>
    </row>
    <row r="475" spans="1:13">
      <c r="A475" s="9" t="s">
        <v>535</v>
      </c>
      <c r="B475" s="10" t="s">
        <v>20</v>
      </c>
      <c r="C475" s="10" t="s">
        <v>28</v>
      </c>
      <c r="D475" s="10">
        <v>3284.86</v>
      </c>
      <c r="E475" s="10">
        <v>0.21</v>
      </c>
      <c r="F475" s="10">
        <v>1</v>
      </c>
      <c r="G475" s="11" t="str">
        <f t="shared" si="7"/>
        <v>February</v>
      </c>
      <c r="H475" s="12">
        <v>44982</v>
      </c>
      <c r="I475" s="12">
        <v>44989</v>
      </c>
      <c r="J475" s="10" t="s">
        <v>16</v>
      </c>
      <c r="K475" s="10" t="s">
        <v>29</v>
      </c>
      <c r="L475" s="10">
        <v>512.98</v>
      </c>
      <c r="M475" s="13" t="s">
        <v>77</v>
      </c>
    </row>
    <row r="476" spans="1:13">
      <c r="A476" s="4" t="s">
        <v>536</v>
      </c>
      <c r="B476" s="5" t="s">
        <v>27</v>
      </c>
      <c r="C476" s="5" t="s">
        <v>15</v>
      </c>
      <c r="D476" s="5">
        <v>4412.28</v>
      </c>
      <c r="E476" s="5">
        <v>0.05</v>
      </c>
      <c r="F476" s="5">
        <v>3</v>
      </c>
      <c r="G476" s="6" t="str">
        <f t="shared" si="7"/>
        <v>July</v>
      </c>
      <c r="H476" s="7">
        <v>45499</v>
      </c>
      <c r="I476" s="7">
        <v>45505</v>
      </c>
      <c r="J476" s="5" t="s">
        <v>22</v>
      </c>
      <c r="K476" s="5" t="s">
        <v>29</v>
      </c>
      <c r="L476" s="5">
        <v>921.96</v>
      </c>
      <c r="M476" s="8" t="s">
        <v>18</v>
      </c>
    </row>
    <row r="477" spans="1:13">
      <c r="A477" s="9" t="s">
        <v>537</v>
      </c>
      <c r="B477" s="10" t="s">
        <v>35</v>
      </c>
      <c r="C477" s="10" t="s">
        <v>47</v>
      </c>
      <c r="D477" s="10">
        <v>1347.43</v>
      </c>
      <c r="E477" s="10">
        <v>0</v>
      </c>
      <c r="F477" s="10">
        <v>1</v>
      </c>
      <c r="G477" s="11" t="str">
        <f t="shared" si="7"/>
        <v>July</v>
      </c>
      <c r="H477" s="12">
        <v>45477</v>
      </c>
      <c r="I477" s="12">
        <v>45484</v>
      </c>
      <c r="J477" s="10" t="s">
        <v>42</v>
      </c>
      <c r="K477" s="10" t="s">
        <v>17</v>
      </c>
      <c r="L477" s="10">
        <v>191.82</v>
      </c>
      <c r="M477" s="13" t="s">
        <v>84</v>
      </c>
    </row>
    <row r="478" spans="1:13">
      <c r="A478" s="4" t="s">
        <v>538</v>
      </c>
      <c r="B478" s="5" t="s">
        <v>14</v>
      </c>
      <c r="C478" s="5" t="s">
        <v>15</v>
      </c>
      <c r="D478" s="5">
        <v>242.39</v>
      </c>
      <c r="E478" s="5">
        <v>0.37</v>
      </c>
      <c r="F478" s="5">
        <v>1</v>
      </c>
      <c r="G478" s="6" t="str">
        <f t="shared" si="7"/>
        <v>October</v>
      </c>
      <c r="H478" s="7">
        <v>45200</v>
      </c>
      <c r="I478" s="7">
        <v>45205</v>
      </c>
      <c r="J478" s="5" t="s">
        <v>22</v>
      </c>
      <c r="K478" s="5" t="s">
        <v>17</v>
      </c>
      <c r="L478" s="5">
        <v>57.92</v>
      </c>
      <c r="M478" s="8" t="s">
        <v>30</v>
      </c>
    </row>
    <row r="479" spans="1:13">
      <c r="A479" s="9" t="s">
        <v>539</v>
      </c>
      <c r="B479" s="10" t="s">
        <v>20</v>
      </c>
      <c r="C479" s="10" t="s">
        <v>47</v>
      </c>
      <c r="D479" s="10">
        <v>2654.31</v>
      </c>
      <c r="E479" s="10">
        <v>0.17</v>
      </c>
      <c r="F479" s="10">
        <v>4</v>
      </c>
      <c r="G479" s="11" t="str">
        <f t="shared" si="7"/>
        <v>April</v>
      </c>
      <c r="H479" s="12">
        <v>45023</v>
      </c>
      <c r="I479" s="12">
        <v>45024</v>
      </c>
      <c r="J479" s="10" t="s">
        <v>22</v>
      </c>
      <c r="K479" s="10" t="s">
        <v>23</v>
      </c>
      <c r="L479" s="10">
        <v>523.78</v>
      </c>
      <c r="M479" s="13" t="s">
        <v>59</v>
      </c>
    </row>
    <row r="480" spans="1:13">
      <c r="A480" s="4" t="s">
        <v>540</v>
      </c>
      <c r="B480" s="5" t="s">
        <v>27</v>
      </c>
      <c r="C480" s="5" t="s">
        <v>47</v>
      </c>
      <c r="D480" s="5">
        <v>2408.4499999999998</v>
      </c>
      <c r="E480" s="5">
        <v>0.31</v>
      </c>
      <c r="F480" s="5">
        <v>2</v>
      </c>
      <c r="G480" s="6" t="str">
        <f t="shared" si="7"/>
        <v>October</v>
      </c>
      <c r="H480" s="7">
        <v>45584</v>
      </c>
      <c r="I480" s="7">
        <v>45586</v>
      </c>
      <c r="J480" s="5" t="s">
        <v>16</v>
      </c>
      <c r="K480" s="5" t="s">
        <v>29</v>
      </c>
      <c r="L480" s="5">
        <v>485.96</v>
      </c>
      <c r="M480" s="8" t="s">
        <v>87</v>
      </c>
    </row>
    <row r="481" spans="1:13">
      <c r="A481" s="9" t="s">
        <v>541</v>
      </c>
      <c r="B481" s="10" t="s">
        <v>35</v>
      </c>
      <c r="C481" s="10" t="s">
        <v>28</v>
      </c>
      <c r="D481" s="10">
        <v>1603.78</v>
      </c>
      <c r="E481" s="10">
        <v>0.15</v>
      </c>
      <c r="F481" s="10">
        <v>9</v>
      </c>
      <c r="G481" s="11" t="str">
        <f t="shared" si="7"/>
        <v>April</v>
      </c>
      <c r="H481" s="12">
        <v>45024</v>
      </c>
      <c r="I481" s="12">
        <v>45028</v>
      </c>
      <c r="J481" s="10" t="s">
        <v>22</v>
      </c>
      <c r="K481" s="10" t="s">
        <v>29</v>
      </c>
      <c r="L481" s="10">
        <v>149.71</v>
      </c>
      <c r="M481" s="13" t="s">
        <v>118</v>
      </c>
    </row>
    <row r="482" spans="1:13">
      <c r="A482" s="4" t="s">
        <v>542</v>
      </c>
      <c r="B482" s="5" t="s">
        <v>14</v>
      </c>
      <c r="C482" s="5" t="s">
        <v>52</v>
      </c>
      <c r="D482" s="5">
        <v>4382.1099999999997</v>
      </c>
      <c r="E482" s="5">
        <v>0.49</v>
      </c>
      <c r="F482" s="5">
        <v>1</v>
      </c>
      <c r="G482" s="6" t="str">
        <f t="shared" si="7"/>
        <v>July</v>
      </c>
      <c r="H482" s="7">
        <v>45137</v>
      </c>
      <c r="I482" s="7">
        <v>45139</v>
      </c>
      <c r="J482" s="5" t="s">
        <v>16</v>
      </c>
      <c r="K482" s="5" t="s">
        <v>29</v>
      </c>
      <c r="L482" s="5">
        <v>226.6</v>
      </c>
      <c r="M482" s="8" t="s">
        <v>82</v>
      </c>
    </row>
    <row r="483" spans="1:13">
      <c r="A483" s="9" t="s">
        <v>543</v>
      </c>
      <c r="B483" s="10" t="s">
        <v>20</v>
      </c>
      <c r="C483" s="10" t="s">
        <v>28</v>
      </c>
      <c r="D483" s="10">
        <v>3771.68</v>
      </c>
      <c r="E483" s="10">
        <v>0.16</v>
      </c>
      <c r="F483" s="10">
        <v>3</v>
      </c>
      <c r="G483" s="11" t="str">
        <f t="shared" si="7"/>
        <v>July</v>
      </c>
      <c r="H483" s="12">
        <v>45480</v>
      </c>
      <c r="I483" s="12">
        <v>45485</v>
      </c>
      <c r="J483" s="10" t="s">
        <v>22</v>
      </c>
      <c r="K483" s="10" t="s">
        <v>17</v>
      </c>
      <c r="L483" s="10">
        <v>778.64</v>
      </c>
      <c r="M483" s="13" t="s">
        <v>77</v>
      </c>
    </row>
    <row r="484" spans="1:13">
      <c r="A484" s="4" t="s">
        <v>544</v>
      </c>
      <c r="B484" s="5" t="s">
        <v>27</v>
      </c>
      <c r="C484" s="5" t="s">
        <v>47</v>
      </c>
      <c r="D484" s="5">
        <v>4304.7700000000004</v>
      </c>
      <c r="E484" s="5">
        <v>0.3</v>
      </c>
      <c r="F484" s="5">
        <v>2</v>
      </c>
      <c r="G484" s="6" t="str">
        <f t="shared" si="7"/>
        <v>July</v>
      </c>
      <c r="H484" s="7">
        <v>45491</v>
      </c>
      <c r="I484" s="7">
        <v>45492</v>
      </c>
      <c r="J484" s="5" t="s">
        <v>42</v>
      </c>
      <c r="K484" s="5" t="s">
        <v>29</v>
      </c>
      <c r="L484" s="5">
        <v>336.04</v>
      </c>
      <c r="M484" s="8" t="s">
        <v>84</v>
      </c>
    </row>
    <row r="485" spans="1:13">
      <c r="A485" s="9" t="s">
        <v>545</v>
      </c>
      <c r="B485" s="10" t="s">
        <v>35</v>
      </c>
      <c r="C485" s="10" t="s">
        <v>15</v>
      </c>
      <c r="D485" s="10">
        <v>892.86</v>
      </c>
      <c r="E485" s="10">
        <v>0.11</v>
      </c>
      <c r="F485" s="10">
        <v>1</v>
      </c>
      <c r="G485" s="11" t="str">
        <f t="shared" si="7"/>
        <v>February</v>
      </c>
      <c r="H485" s="12">
        <v>44959</v>
      </c>
      <c r="I485" s="12">
        <v>44962</v>
      </c>
      <c r="J485" s="10" t="s">
        <v>16</v>
      </c>
      <c r="K485" s="10" t="s">
        <v>23</v>
      </c>
      <c r="L485" s="10">
        <v>74.44</v>
      </c>
      <c r="M485" s="13" t="s">
        <v>113</v>
      </c>
    </row>
    <row r="486" spans="1:13">
      <c r="A486" s="4" t="s">
        <v>546</v>
      </c>
      <c r="B486" s="5" t="s">
        <v>14</v>
      </c>
      <c r="C486" s="5" t="s">
        <v>28</v>
      </c>
      <c r="D486" s="5">
        <v>3492.82</v>
      </c>
      <c r="E486" s="5">
        <v>0.26</v>
      </c>
      <c r="F486" s="5">
        <v>9</v>
      </c>
      <c r="G486" s="6" t="str">
        <f t="shared" si="7"/>
        <v>October</v>
      </c>
      <c r="H486" s="7">
        <v>45203</v>
      </c>
      <c r="I486" s="7">
        <v>45205</v>
      </c>
      <c r="J486" s="5" t="s">
        <v>16</v>
      </c>
      <c r="K486" s="5" t="s">
        <v>23</v>
      </c>
      <c r="L486" s="5">
        <v>317.56</v>
      </c>
      <c r="M486" s="8" t="s">
        <v>82</v>
      </c>
    </row>
    <row r="487" spans="1:13">
      <c r="A487" s="9" t="s">
        <v>547</v>
      </c>
      <c r="B487" s="10" t="s">
        <v>20</v>
      </c>
      <c r="C487" s="10" t="s">
        <v>52</v>
      </c>
      <c r="D487" s="10">
        <v>4878</v>
      </c>
      <c r="E487" s="10">
        <v>0.28999999999999998</v>
      </c>
      <c r="F487" s="10">
        <v>5</v>
      </c>
      <c r="G487" s="11" t="str">
        <f t="shared" si="7"/>
        <v>March</v>
      </c>
      <c r="H487" s="12">
        <v>45370</v>
      </c>
      <c r="I487" s="12">
        <v>45373</v>
      </c>
      <c r="J487" s="10" t="s">
        <v>16</v>
      </c>
      <c r="K487" s="10" t="s">
        <v>29</v>
      </c>
      <c r="L487" s="10">
        <v>731.64</v>
      </c>
      <c r="M487" s="13" t="s">
        <v>118</v>
      </c>
    </row>
    <row r="488" spans="1:13">
      <c r="A488" s="4" t="s">
        <v>548</v>
      </c>
      <c r="B488" s="5" t="s">
        <v>27</v>
      </c>
      <c r="C488" s="5" t="s">
        <v>47</v>
      </c>
      <c r="D488" s="5">
        <v>3098.38</v>
      </c>
      <c r="E488" s="5">
        <v>0.09</v>
      </c>
      <c r="F488" s="5">
        <v>6</v>
      </c>
      <c r="G488" s="6" t="str">
        <f t="shared" si="7"/>
        <v>October</v>
      </c>
      <c r="H488" s="7">
        <v>45580</v>
      </c>
      <c r="I488" s="7">
        <v>45584</v>
      </c>
      <c r="J488" s="5" t="s">
        <v>16</v>
      </c>
      <c r="K488" s="5" t="s">
        <v>23</v>
      </c>
      <c r="L488" s="5">
        <v>344.48</v>
      </c>
      <c r="M488" s="8" t="s">
        <v>30</v>
      </c>
    </row>
    <row r="489" spans="1:13">
      <c r="A489" s="9" t="s">
        <v>549</v>
      </c>
      <c r="B489" s="10" t="s">
        <v>35</v>
      </c>
      <c r="C489" s="10" t="s">
        <v>28</v>
      </c>
      <c r="D489" s="10">
        <v>939.69</v>
      </c>
      <c r="E489" s="10">
        <v>0.06</v>
      </c>
      <c r="F489" s="10">
        <v>8</v>
      </c>
      <c r="G489" s="11" t="str">
        <f t="shared" si="7"/>
        <v>March</v>
      </c>
      <c r="H489" s="12">
        <v>45353</v>
      </c>
      <c r="I489" s="12">
        <v>45360</v>
      </c>
      <c r="J489" s="10" t="s">
        <v>42</v>
      </c>
      <c r="K489" s="10" t="s">
        <v>23</v>
      </c>
      <c r="L489" s="10">
        <v>270.99</v>
      </c>
      <c r="M489" s="13" t="s">
        <v>36</v>
      </c>
    </row>
    <row r="490" spans="1:13">
      <c r="A490" s="4" t="s">
        <v>550</v>
      </c>
      <c r="B490" s="5" t="s">
        <v>14</v>
      </c>
      <c r="C490" s="5" t="s">
        <v>28</v>
      </c>
      <c r="D490" s="5">
        <v>4979.32</v>
      </c>
      <c r="E490" s="5">
        <v>0.49</v>
      </c>
      <c r="F490" s="5">
        <v>7</v>
      </c>
      <c r="G490" s="6" t="str">
        <f t="shared" si="7"/>
        <v>May</v>
      </c>
      <c r="H490" s="7">
        <v>45056</v>
      </c>
      <c r="I490" s="7">
        <v>45059</v>
      </c>
      <c r="J490" s="5" t="s">
        <v>16</v>
      </c>
      <c r="K490" s="5" t="s">
        <v>23</v>
      </c>
      <c r="L490" s="5">
        <v>1091.53</v>
      </c>
      <c r="M490" s="8" t="s">
        <v>63</v>
      </c>
    </row>
    <row r="491" spans="1:13">
      <c r="A491" s="9" t="s">
        <v>551</v>
      </c>
      <c r="B491" s="10" t="s">
        <v>20</v>
      </c>
      <c r="C491" s="10" t="s">
        <v>28</v>
      </c>
      <c r="D491" s="10">
        <v>2688.79</v>
      </c>
      <c r="E491" s="10">
        <v>0.45</v>
      </c>
      <c r="F491" s="10">
        <v>7</v>
      </c>
      <c r="G491" s="11" t="str">
        <f t="shared" si="7"/>
        <v>October</v>
      </c>
      <c r="H491" s="12">
        <v>45222</v>
      </c>
      <c r="I491" s="12">
        <v>45229</v>
      </c>
      <c r="J491" s="10" t="s">
        <v>16</v>
      </c>
      <c r="K491" s="10" t="s">
        <v>29</v>
      </c>
      <c r="L491" s="10">
        <v>264.99</v>
      </c>
      <c r="M491" s="13" t="s">
        <v>25</v>
      </c>
    </row>
    <row r="492" spans="1:13">
      <c r="A492" s="4" t="s">
        <v>552</v>
      </c>
      <c r="B492" s="5" t="s">
        <v>27</v>
      </c>
      <c r="C492" s="5" t="s">
        <v>28</v>
      </c>
      <c r="D492" s="5">
        <v>4216.29</v>
      </c>
      <c r="E492" s="5">
        <v>0.33</v>
      </c>
      <c r="F492" s="5">
        <v>9</v>
      </c>
      <c r="G492" s="6" t="str">
        <f t="shared" si="7"/>
        <v>July</v>
      </c>
      <c r="H492" s="7">
        <v>45488</v>
      </c>
      <c r="I492" s="7">
        <v>45492</v>
      </c>
      <c r="J492" s="5" t="s">
        <v>42</v>
      </c>
      <c r="K492" s="5" t="s">
        <v>29</v>
      </c>
      <c r="L492" s="5">
        <v>1058.17</v>
      </c>
      <c r="M492" s="8" t="s">
        <v>36</v>
      </c>
    </row>
    <row r="493" spans="1:13">
      <c r="A493" s="9" t="s">
        <v>553</v>
      </c>
      <c r="B493" s="10" t="s">
        <v>35</v>
      </c>
      <c r="C493" s="10" t="s">
        <v>15</v>
      </c>
      <c r="D493" s="10">
        <v>831.87</v>
      </c>
      <c r="E493" s="10">
        <v>0.43</v>
      </c>
      <c r="F493" s="10">
        <v>3</v>
      </c>
      <c r="G493" s="11" t="str">
        <f t="shared" si="7"/>
        <v>April</v>
      </c>
      <c r="H493" s="12">
        <v>45405</v>
      </c>
      <c r="I493" s="12">
        <v>45408</v>
      </c>
      <c r="J493" s="10" t="s">
        <v>22</v>
      </c>
      <c r="K493" s="10" t="s">
        <v>29</v>
      </c>
      <c r="L493" s="10">
        <v>99.89</v>
      </c>
      <c r="M493" s="13" t="s">
        <v>59</v>
      </c>
    </row>
    <row r="494" spans="1:13">
      <c r="A494" s="4" t="s">
        <v>554</v>
      </c>
      <c r="B494" s="5" t="s">
        <v>14</v>
      </c>
      <c r="C494" s="5" t="s">
        <v>52</v>
      </c>
      <c r="D494" s="5">
        <v>3363.87</v>
      </c>
      <c r="E494" s="5">
        <v>0.05</v>
      </c>
      <c r="F494" s="5">
        <v>8</v>
      </c>
      <c r="G494" s="6" t="str">
        <f t="shared" si="7"/>
        <v>July</v>
      </c>
      <c r="H494" s="7">
        <v>45501</v>
      </c>
      <c r="I494" s="7">
        <v>45506</v>
      </c>
      <c r="J494" s="5" t="s">
        <v>42</v>
      </c>
      <c r="K494" s="5" t="s">
        <v>29</v>
      </c>
      <c r="L494" s="5">
        <v>840.81</v>
      </c>
      <c r="M494" s="8" t="s">
        <v>63</v>
      </c>
    </row>
    <row r="495" spans="1:13">
      <c r="A495" s="9" t="s">
        <v>555</v>
      </c>
      <c r="B495" s="10" t="s">
        <v>20</v>
      </c>
      <c r="C495" s="10" t="s">
        <v>52</v>
      </c>
      <c r="D495" s="10">
        <v>4571.83</v>
      </c>
      <c r="E495" s="10">
        <v>0.36</v>
      </c>
      <c r="F495" s="10">
        <v>6</v>
      </c>
      <c r="G495" s="11" t="str">
        <f t="shared" si="7"/>
        <v>April</v>
      </c>
      <c r="H495" s="12">
        <v>45036</v>
      </c>
      <c r="I495" s="12">
        <v>45039</v>
      </c>
      <c r="J495" s="10" t="s">
        <v>22</v>
      </c>
      <c r="K495" s="10" t="s">
        <v>23</v>
      </c>
      <c r="L495" s="10">
        <v>764.68</v>
      </c>
      <c r="M495" s="13" t="s">
        <v>18</v>
      </c>
    </row>
    <row r="496" spans="1:13">
      <c r="A496" s="4" t="s">
        <v>556</v>
      </c>
      <c r="B496" s="5" t="s">
        <v>27</v>
      </c>
      <c r="C496" s="5" t="s">
        <v>47</v>
      </c>
      <c r="D496" s="5">
        <v>2706.89</v>
      </c>
      <c r="E496" s="5">
        <v>0.14000000000000001</v>
      </c>
      <c r="F496" s="5">
        <v>8</v>
      </c>
      <c r="G496" s="6" t="str">
        <f t="shared" si="7"/>
        <v>November</v>
      </c>
      <c r="H496" s="7">
        <v>45246</v>
      </c>
      <c r="I496" s="7">
        <v>45252</v>
      </c>
      <c r="J496" s="5" t="s">
        <v>16</v>
      </c>
      <c r="K496" s="5" t="s">
        <v>29</v>
      </c>
      <c r="L496" s="5">
        <v>460.15</v>
      </c>
      <c r="M496" s="8" t="s">
        <v>24</v>
      </c>
    </row>
    <row r="497" spans="1:13">
      <c r="A497" s="9" t="s">
        <v>557</v>
      </c>
      <c r="B497" s="10" t="s">
        <v>35</v>
      </c>
      <c r="C497" s="10" t="s">
        <v>21</v>
      </c>
      <c r="D497" s="10">
        <v>1514.43</v>
      </c>
      <c r="E497" s="10">
        <v>0.27</v>
      </c>
      <c r="F497" s="10">
        <v>4</v>
      </c>
      <c r="G497" s="11" t="str">
        <f t="shared" si="7"/>
        <v>June</v>
      </c>
      <c r="H497" s="12">
        <v>45104</v>
      </c>
      <c r="I497" s="12">
        <v>45106</v>
      </c>
      <c r="J497" s="10" t="s">
        <v>16</v>
      </c>
      <c r="K497" s="10" t="s">
        <v>17</v>
      </c>
      <c r="L497" s="10">
        <v>220.52</v>
      </c>
      <c r="M497" s="13" t="s">
        <v>24</v>
      </c>
    </row>
    <row r="498" spans="1:13">
      <c r="A498" s="4" t="s">
        <v>558</v>
      </c>
      <c r="B498" s="5" t="s">
        <v>14</v>
      </c>
      <c r="C498" s="5" t="s">
        <v>15</v>
      </c>
      <c r="D498" s="5">
        <v>724.37</v>
      </c>
      <c r="E498" s="5">
        <v>0.38</v>
      </c>
      <c r="F498" s="5">
        <v>1</v>
      </c>
      <c r="G498" s="6" t="str">
        <f t="shared" si="7"/>
        <v>January</v>
      </c>
      <c r="H498" s="7">
        <v>45320</v>
      </c>
      <c r="I498" s="7">
        <v>45327</v>
      </c>
      <c r="J498" s="5" t="s">
        <v>22</v>
      </c>
      <c r="K498" s="5" t="s">
        <v>17</v>
      </c>
      <c r="L498" s="5">
        <v>80.92</v>
      </c>
      <c r="M498" s="8" t="s">
        <v>113</v>
      </c>
    </row>
    <row r="499" spans="1:13">
      <c r="A499" s="16" t="s">
        <v>559</v>
      </c>
      <c r="B499" s="17" t="s">
        <v>20</v>
      </c>
      <c r="C499" s="17" t="s">
        <v>47</v>
      </c>
      <c r="D499" s="17">
        <v>1550.13</v>
      </c>
      <c r="E499" s="17">
        <v>0.02</v>
      </c>
      <c r="F499" s="17">
        <v>3</v>
      </c>
      <c r="G499" s="18" t="str">
        <f t="shared" si="7"/>
        <v>September</v>
      </c>
      <c r="H499" s="19">
        <v>45170</v>
      </c>
      <c r="I499" s="19">
        <v>45172</v>
      </c>
      <c r="J499" s="17" t="s">
        <v>16</v>
      </c>
      <c r="K499" s="17" t="s">
        <v>17</v>
      </c>
      <c r="L499" s="17">
        <v>343.75</v>
      </c>
      <c r="M499" s="20" t="s">
        <v>113</v>
      </c>
    </row>
  </sheetData>
  <conditionalFormatting sqref="D1:D499">
    <cfRule type="top10" dxfId="0" priority="1" rank="10"/>
  </conditionalFormatting>
  <conditionalFormatting sqref="E1:E499">
    <cfRule type="colorScale" priority="2">
      <colorScale>
        <cfvo type="min"/>
        <cfvo type="percentile" val="50"/>
        <cfvo type="max"/>
        <color rgb="FF92D050"/>
        <color rgb="FFFFEB84"/>
        <color rgb="FFFF0000"/>
      </colorScale>
    </cfRule>
  </conditionalFormatting>
  <pageMargins left="0.75" right="0.75" top="1" bottom="1" header="0.5" footer="0.5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"/>
  <sheetViews>
    <sheetView tabSelected="1" zoomScale="205" zoomScaleNormal="205" workbookViewId="0">
      <selection activeCell="I4" sqref="I4"/>
    </sheetView>
  </sheetViews>
  <sheetFormatPr defaultColWidth="8.77734375" defaultRowHeight="14.4"/>
  <cols>
    <col min="2" max="2" width="11.109375" bestFit="1" customWidth="1"/>
    <col min="4" max="4" width="11.109375" bestFit="1" customWidth="1"/>
  </cols>
  <sheetData>
    <row r="1" spans="1:10">
      <c r="A1" t="s">
        <v>593</v>
      </c>
      <c r="F1">
        <v>2845</v>
      </c>
      <c r="G1" t="s">
        <v>30</v>
      </c>
      <c r="J1" t="s">
        <v>30</v>
      </c>
    </row>
    <row r="2" spans="1:10">
      <c r="A2">
        <v>23</v>
      </c>
      <c r="D2" s="21">
        <v>46078</v>
      </c>
      <c r="F2">
        <v>8347</v>
      </c>
      <c r="G2" t="s">
        <v>596</v>
      </c>
      <c r="J2" t="s">
        <v>25</v>
      </c>
    </row>
    <row r="3" spans="1:10">
      <c r="A3">
        <v>27</v>
      </c>
      <c r="D3" s="21">
        <v>46102</v>
      </c>
      <c r="F3">
        <v>3485</v>
      </c>
      <c r="G3" t="s">
        <v>597</v>
      </c>
      <c r="J3" t="s">
        <v>594</v>
      </c>
    </row>
    <row r="4" spans="1:10">
      <c r="A4">
        <v>67</v>
      </c>
      <c r="F4">
        <v>9034</v>
      </c>
      <c r="J4" t="s">
        <v>595</v>
      </c>
    </row>
    <row r="5" spans="1:10">
      <c r="A5">
        <v>45</v>
      </c>
      <c r="F5">
        <v>9000</v>
      </c>
      <c r="J5" t="s">
        <v>596</v>
      </c>
    </row>
    <row r="6" spans="1:10">
      <c r="A6">
        <v>90</v>
      </c>
      <c r="J6" t="s">
        <v>597</v>
      </c>
    </row>
    <row r="7" spans="1:10">
      <c r="J7" t="s">
        <v>598</v>
      </c>
    </row>
    <row r="8" spans="1:10">
      <c r="J8" t="s">
        <v>599</v>
      </c>
    </row>
  </sheetData>
  <dataValidations count="4">
    <dataValidation type="whole" allowBlank="1" showInputMessage="1" showErrorMessage="1" errorTitle="Invalid Age" error="Please enter age in between 1 and 100." sqref="A2:A13 B3">
      <formula1>1</formula1>
      <formula2>100</formula2>
    </dataValidation>
    <dataValidation type="date" operator="lessThan" allowBlank="1" showInputMessage="1" showErrorMessage="1" sqref="D2:D10">
      <formula1>TODAY()</formula1>
    </dataValidation>
    <dataValidation type="textLength" operator="equal" allowBlank="1" showInputMessage="1" showErrorMessage="1" errorTitle="Invalid OTP" error="Please enter 4 digit OTP" sqref="F1:F1048576">
      <formula1>4</formula1>
    </dataValidation>
    <dataValidation type="list" allowBlank="1" showInputMessage="1" showErrorMessage="1" errorTitle="Invalid City" error="Please enter valid city" sqref="G1:G1048576">
      <formula1>$J$1:$J$8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Sheet2</vt:lpstr>
      <vt:lpstr>Sheet3</vt:lpstr>
      <vt:lpstr>Sheet4</vt:lpstr>
      <vt:lpstr>Sheet7</vt:lpstr>
      <vt:lpstr>Sheet6</vt:lpstr>
      <vt:lpstr>Sheet8</vt:lpstr>
      <vt:lpstr>Sheet9</vt:lpstr>
      <vt:lpstr>Sheet5</vt:lpstr>
      <vt:lpstr>Sheet10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hp</cp:lastModifiedBy>
  <dcterms:created xsi:type="dcterms:W3CDTF">2026-04-17T06:18:00Z</dcterms:created>
  <dcterms:modified xsi:type="dcterms:W3CDTF">2026-06-02T10:21:30Z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0235261F9AF749E8B9047724E4CE9AE0_12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